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D:\MYDATA\Project\webte\te-upgris\src\data\dummy\"/>
    </mc:Choice>
  </mc:AlternateContent>
  <xr:revisionPtr revIDLastSave="0" documentId="13_ncr:1_{FD7F9286-4FBE-41BD-874A-612E2F510921}" xr6:coauthVersionLast="47" xr6:coauthVersionMax="47" xr10:uidLastSave="{00000000-0000-0000-0000-000000000000}"/>
  <bookViews>
    <workbookView xWindow="-110" yWindow="-110" windowWidth="19420" windowHeight="11020" firstSheet="4" activeTab="10" xr2:uid="{00000000-000D-0000-FFFF-FFFF00000000}"/>
  </bookViews>
  <sheets>
    <sheet name="beranda" sheetId="1" r:id="rId1"/>
    <sheet name="berita" sheetId="2" r:id="rId2"/>
    <sheet name="capstone" sheetId="3" r:id="rId3"/>
    <sheet name="dosen" sheetId="4" r:id="rId4"/>
    <sheet name="kurikulum" sheetId="5" r:id="rId5"/>
    <sheet name="mitra" sheetId="6" r:id="rId6"/>
    <sheet name="penelitian" sheetId="7" r:id="rId7"/>
    <sheet name="pengumuman" sheetId="8" r:id="rId8"/>
    <sheet name="pkm" sheetId="9" r:id="rId9"/>
    <sheet name="profil" sheetId="10" r:id="rId10"/>
    <sheet name="publikasi" sheetId="11" r:id="rId11"/>
    <sheet name="publikasi_otomatis" sheetId="12" r:id="rId12"/>
    <sheet name="publikasi_upgris" sheetId="13" r:id="rId13"/>
    <sheet name="slideshow" sheetId="14" r:id="rId14"/>
    <sheet name="spmi" sheetId="15" r:id="rId15"/>
  </sheets>
  <externalReferences>
    <externalReference r:id="rId16"/>
  </externalReferences>
  <definedNames>
    <definedName name="_xlnm._FilterDatabase" localSheetId="10" hidden="1">publikasi!$A$1:$G$314</definedName>
  </definedNames>
  <calcPr calcId="191029"/>
</workbook>
</file>

<file path=xl/calcChain.xml><?xml version="1.0" encoding="utf-8"?>
<calcChain xmlns="http://schemas.openxmlformats.org/spreadsheetml/2006/main">
  <c r="H3" i="11" l="1"/>
  <c r="H4" i="11"/>
  <c r="H5" i="11"/>
  <c r="H6" i="11"/>
  <c r="H7" i="11"/>
  <c r="H8" i="11"/>
  <c r="H9" i="11"/>
  <c r="H10" i="11"/>
  <c r="H11" i="11"/>
  <c r="H12" i="11"/>
  <c r="H13" i="11"/>
  <c r="H14" i="11"/>
  <c r="H15" i="11"/>
  <c r="H16" i="11"/>
  <c r="H17" i="11"/>
  <c r="H18" i="11"/>
  <c r="H19" i="11"/>
  <c r="H20" i="11"/>
  <c r="H21" i="11"/>
  <c r="H22" i="11"/>
  <c r="H23" i="11"/>
  <c r="H24" i="11"/>
  <c r="H25" i="11"/>
  <c r="H26" i="11"/>
  <c r="H27" i="11"/>
  <c r="H28" i="11"/>
  <c r="H29" i="11"/>
  <c r="H30" i="11"/>
  <c r="H31" i="11"/>
  <c r="H32" i="11"/>
  <c r="H33" i="11"/>
  <c r="H34" i="11"/>
  <c r="H35" i="11"/>
  <c r="H36" i="11"/>
  <c r="H37" i="11"/>
  <c r="H38" i="11"/>
  <c r="H39" i="11"/>
  <c r="H40" i="11"/>
  <c r="H41" i="11"/>
  <c r="H42" i="11"/>
  <c r="H43" i="11"/>
  <c r="H44" i="11"/>
  <c r="H45" i="11"/>
  <c r="H46" i="11"/>
  <c r="H47" i="11"/>
  <c r="H48" i="11"/>
  <c r="H49" i="11"/>
  <c r="H50" i="11"/>
  <c r="H51" i="11"/>
  <c r="H52" i="11"/>
  <c r="H53" i="11"/>
  <c r="H54" i="11"/>
  <c r="H55" i="11"/>
  <c r="H56" i="11"/>
  <c r="H57" i="11"/>
  <c r="H58" i="11"/>
  <c r="H59" i="11"/>
  <c r="H60" i="11"/>
  <c r="H61" i="11"/>
  <c r="H62" i="11"/>
  <c r="H63" i="11"/>
  <c r="H64" i="11"/>
  <c r="H65" i="11"/>
  <c r="H66" i="11"/>
  <c r="H67" i="11"/>
  <c r="H68" i="11"/>
  <c r="H69" i="11"/>
  <c r="H70" i="11"/>
  <c r="H71" i="11"/>
  <c r="H72" i="11"/>
  <c r="H73" i="11"/>
  <c r="H74" i="11"/>
  <c r="H75" i="11"/>
  <c r="H76" i="11"/>
  <c r="H77" i="11"/>
  <c r="H78" i="11"/>
  <c r="H79" i="11"/>
  <c r="H80" i="11"/>
  <c r="H81" i="11"/>
  <c r="H82" i="11"/>
  <c r="H83" i="11"/>
  <c r="H84" i="11"/>
  <c r="H85" i="11"/>
  <c r="H86" i="11"/>
  <c r="H87" i="11"/>
  <c r="H88" i="11"/>
  <c r="H89" i="11"/>
  <c r="H90" i="11"/>
  <c r="H91" i="11"/>
  <c r="H92" i="11"/>
  <c r="H93" i="11"/>
  <c r="H94" i="11"/>
  <c r="H95" i="11"/>
  <c r="H96" i="11"/>
  <c r="H97" i="11"/>
  <c r="H98" i="11"/>
  <c r="H99" i="11"/>
  <c r="H100" i="11"/>
  <c r="H101" i="11"/>
  <c r="H102" i="11"/>
  <c r="H103" i="11"/>
  <c r="H104" i="11"/>
  <c r="H105" i="11"/>
  <c r="H106" i="11"/>
  <c r="H107" i="11"/>
  <c r="H108" i="11"/>
  <c r="H109" i="11"/>
  <c r="H110" i="11"/>
  <c r="H111" i="11"/>
  <c r="H112" i="11"/>
  <c r="H113" i="11"/>
  <c r="H114" i="11"/>
  <c r="H115" i="11"/>
  <c r="H116" i="11"/>
  <c r="H117" i="11"/>
  <c r="H118" i="11"/>
  <c r="H119" i="11"/>
  <c r="H120" i="11"/>
  <c r="H121" i="11"/>
  <c r="H122" i="11"/>
  <c r="H123" i="11"/>
  <c r="H124" i="11"/>
  <c r="H125" i="11"/>
  <c r="H126" i="11"/>
  <c r="H127" i="11"/>
  <c r="H128" i="11"/>
  <c r="H129" i="11"/>
  <c r="H130" i="11"/>
  <c r="H131" i="11"/>
  <c r="H132" i="11"/>
  <c r="H133" i="11"/>
  <c r="H134" i="11"/>
  <c r="H135" i="11"/>
  <c r="H136" i="11"/>
  <c r="H137" i="11"/>
  <c r="H138" i="11"/>
  <c r="H139" i="11"/>
  <c r="H140" i="11"/>
  <c r="H141" i="11"/>
  <c r="H142" i="11"/>
  <c r="H143" i="11"/>
  <c r="H144" i="11"/>
  <c r="H145" i="11"/>
  <c r="H146" i="11"/>
  <c r="H147" i="11"/>
  <c r="H148" i="11"/>
  <c r="H149" i="11"/>
  <c r="H150" i="11"/>
  <c r="H151" i="11"/>
  <c r="H152" i="11"/>
  <c r="H153" i="11"/>
  <c r="H154" i="11"/>
  <c r="H155" i="11"/>
  <c r="H156" i="11"/>
  <c r="H157" i="11"/>
  <c r="H158" i="11"/>
  <c r="H159" i="11"/>
  <c r="H160" i="11"/>
  <c r="H161" i="11"/>
  <c r="H162" i="11"/>
  <c r="H163" i="11"/>
  <c r="H164" i="11"/>
  <c r="H165" i="11"/>
  <c r="H166" i="11"/>
  <c r="H167" i="11"/>
  <c r="H168" i="11"/>
  <c r="H169" i="11"/>
  <c r="H170" i="11"/>
  <c r="H171" i="11"/>
  <c r="H172" i="11"/>
  <c r="H173" i="11"/>
  <c r="H174" i="11"/>
  <c r="H175" i="11"/>
  <c r="H176" i="11"/>
  <c r="H177" i="11"/>
  <c r="H178" i="11"/>
  <c r="H179" i="11"/>
  <c r="H180" i="11"/>
  <c r="H181" i="11"/>
  <c r="H182" i="11"/>
  <c r="H183" i="11"/>
  <c r="H184" i="11"/>
  <c r="H185" i="11"/>
  <c r="H186" i="11"/>
  <c r="H187" i="11"/>
  <c r="H188" i="11"/>
  <c r="H189" i="11"/>
  <c r="H190" i="11"/>
  <c r="H191" i="11"/>
  <c r="H192" i="11"/>
  <c r="H193" i="11"/>
  <c r="H194" i="11"/>
  <c r="H195" i="11"/>
  <c r="H196" i="11"/>
  <c r="H197" i="11"/>
  <c r="H198" i="11"/>
  <c r="H199" i="11"/>
  <c r="H200" i="11"/>
  <c r="H201" i="11"/>
  <c r="H202" i="11"/>
  <c r="H203" i="11"/>
  <c r="H204" i="11"/>
  <c r="H205" i="11"/>
  <c r="H206" i="11"/>
  <c r="H207" i="11"/>
  <c r="H208" i="11"/>
  <c r="H209" i="11"/>
  <c r="H210" i="11"/>
  <c r="H211" i="11"/>
  <c r="H212" i="11"/>
  <c r="H213" i="11"/>
  <c r="H214" i="11"/>
  <c r="H215" i="11"/>
  <c r="H216" i="11"/>
  <c r="H217" i="11"/>
  <c r="H218" i="11"/>
  <c r="H219" i="11"/>
  <c r="H220" i="11"/>
  <c r="H221" i="11"/>
  <c r="H222" i="11"/>
  <c r="H223" i="11"/>
  <c r="H224" i="11"/>
  <c r="H225" i="11"/>
  <c r="H226" i="11"/>
  <c r="H227" i="11"/>
  <c r="H228" i="11"/>
  <c r="H229" i="11"/>
  <c r="H230" i="11"/>
  <c r="H231" i="11"/>
  <c r="H232" i="11"/>
  <c r="H233" i="11"/>
  <c r="H234" i="11"/>
  <c r="H235" i="11"/>
  <c r="H236" i="11"/>
  <c r="H237" i="11"/>
  <c r="H238" i="11"/>
  <c r="H239" i="11"/>
  <c r="H240" i="11"/>
  <c r="H241" i="11"/>
  <c r="H242" i="11"/>
  <c r="H243" i="11"/>
  <c r="H244" i="11"/>
  <c r="H245" i="11"/>
  <c r="H246" i="11"/>
  <c r="H247" i="11"/>
  <c r="H248" i="11"/>
  <c r="H249" i="11"/>
  <c r="H250" i="11"/>
  <c r="H251" i="11"/>
  <c r="H252" i="11"/>
  <c r="H253" i="11"/>
  <c r="H254" i="11"/>
  <c r="H255" i="11"/>
  <c r="H256" i="11"/>
  <c r="H257" i="11"/>
  <c r="H258" i="11"/>
  <c r="H259" i="11"/>
  <c r="H260" i="11"/>
  <c r="H261" i="11"/>
  <c r="H262" i="11"/>
  <c r="H263" i="11"/>
  <c r="H264" i="11"/>
  <c r="H265" i="11"/>
  <c r="H266" i="11"/>
  <c r="H267" i="11"/>
  <c r="H268" i="11"/>
  <c r="H269" i="11"/>
  <c r="H270" i="11"/>
  <c r="H271" i="11"/>
  <c r="H272" i="11"/>
  <c r="H273" i="11"/>
  <c r="H274" i="11"/>
  <c r="H275" i="11"/>
  <c r="H276" i="11"/>
  <c r="H277" i="11"/>
  <c r="H278" i="11"/>
  <c r="H279" i="11"/>
  <c r="H280" i="11"/>
  <c r="H281" i="11"/>
  <c r="H282" i="11"/>
  <c r="H283" i="11"/>
  <c r="H284" i="11"/>
  <c r="H285" i="11"/>
  <c r="H286" i="11"/>
  <c r="H287" i="11"/>
  <c r="H288" i="11"/>
  <c r="H289" i="11"/>
  <c r="H290" i="11"/>
  <c r="H291" i="11"/>
  <c r="H292" i="11"/>
  <c r="H293" i="11"/>
  <c r="H294" i="11"/>
  <c r="H295" i="11"/>
  <c r="H296" i="11"/>
  <c r="H297" i="11"/>
  <c r="H298" i="11"/>
  <c r="H299" i="11"/>
  <c r="H300" i="11"/>
  <c r="H301" i="11"/>
  <c r="H302" i="11"/>
  <c r="H303" i="11"/>
  <c r="H304" i="11"/>
  <c r="H305" i="11"/>
  <c r="H306" i="11"/>
  <c r="H307" i="11"/>
  <c r="H308" i="11"/>
  <c r="H309" i="11"/>
  <c r="H310" i="11"/>
  <c r="H311" i="11"/>
  <c r="H312" i="11"/>
  <c r="H313" i="11"/>
  <c r="H314" i="11"/>
  <c r="H2" i="11"/>
</calcChain>
</file>

<file path=xl/sharedStrings.xml><?xml version="1.0" encoding="utf-8"?>
<sst xmlns="http://schemas.openxmlformats.org/spreadsheetml/2006/main" count="2214" uniqueCount="1339">
  <si>
    <t>videoUrl</t>
  </si>
  <si>
    <t>videoJudul</t>
  </si>
  <si>
    <t>videoDeskripsi</t>
  </si>
  <si>
    <t>https://www.youtube-nocookie.com/embed/dQw4w9WgXcQ</t>
  </si>
  <si>
    <t>Profil Program Studi Teknik Elektro UPGRIS</t>
  </si>
  <si>
    <t>Mengenal lebih dekat Program Studi Teknik Elektro S1 Universitas PGRI Semarang — visi, misi, fasilitas, dan kehidupan kampus.</t>
  </si>
  <si>
    <t>id</t>
  </si>
  <si>
    <t>judul</t>
  </si>
  <si>
    <t>kategori</t>
  </si>
  <si>
    <t>tanggal</t>
  </si>
  <si>
    <t>ringkasan</t>
  </si>
  <si>
    <t>penulis</t>
  </si>
  <si>
    <t>image</t>
  </si>
  <si>
    <t>contentUrl</t>
  </si>
  <si>
    <t>Mahasiswa TE UPGRIS Raih Juara 1 Kontes Robot Indonesia 2025</t>
  </si>
  <si>
    <t>Prestasi</t>
  </si>
  <si>
    <t>2025-11-15</t>
  </si>
  <si>
    <t>Tim mahasiswa Teknik Elektro UPGRIS berhasil meraih Juara 1 pada ajang Kontes Robot Indonesia tingkat nasional yang diselenggarakan di Surabaya.</t>
  </si>
  <si>
    <t>Admin Prodi</t>
  </si>
  <si>
    <t>https://images.unsplash.com/photo-1485827404703-89b55fcc595e?w=800&amp;q=75</t>
  </si>
  <si>
    <t>/content/berita/berita-1.md</t>
  </si>
  <si>
    <t>Dosen TE UPGRIS Publikasikan Penelitian di Jurnal Q1 IEEE</t>
  </si>
  <si>
    <t>Penelitian</t>
  </si>
  <si>
    <t>2025-10-20</t>
  </si>
  <si>
    <t>Dr. Eng. Agus Setiawan berhasil mempublikasikan hasil penelitian Smart Grid berbasis AI di IEEE Transactions on Power Systems, jurnal terindeks Scopus Q1.</t>
  </si>
  <si>
    <t>https://images.unsplash.com/photo-1532094349884-543559c3661a?w=800&amp;q=75</t>
  </si>
  <si>
    <t>/content/berita/berita-2.md</t>
  </si>
  <si>
    <t>Kerjasama MoU dengan PT PLN (Persero) Resmi Ditandatangani</t>
  </si>
  <si>
    <t>Kerjasama</t>
  </si>
  <si>
    <t>2025-09-05</t>
  </si>
  <si>
    <t>Program Studi Teknik Elektro UPGRIS resmi menjalin kerjasama dengan PT PLN (Persero) untuk program magang, penelitian bersama, dan rekrutmen lulusan.</t>
  </si>
  <si>
    <t>Humas Prodi</t>
  </si>
  <si>
    <t>https://images.unsplash.com/photo-1521791136064-7986c2920216?w=800&amp;q=75</t>
  </si>
  <si>
    <t>Workshop IoT &amp; Industri 4.0 Bersama Siemens Indonesia</t>
  </si>
  <si>
    <t>Akademik</t>
  </si>
  <si>
    <t>2025-08-18</t>
  </si>
  <si>
    <t>Prodi TE UPGRIS menyelenggarakan workshop dua hari bertema Implementasi IoT di Industri 4.0 bekerja sama dengan Siemens Indonesia untuk mahasiswa semester 5 dan 6.</t>
  </si>
  <si>
    <t>https://images.unsplash.com/photo-1581091226825-a6a2a5aee158?w=800&amp;q=75</t>
  </si>
  <si>
    <t>/content/berita/berita-4.md</t>
  </si>
  <si>
    <t>Pengabdian Masyarakat: Instalasi PLTS di Desa Wisata Bandungan</t>
  </si>
  <si>
    <t>Pengabdian</t>
  </si>
  <si>
    <t>2025-07-10</t>
  </si>
  <si>
    <t>Tim dosen dan mahasiswa TE UPGRIS berhasil menginstalasi sistem panel surya 5kWp di Desa Wisata Bandungan, memberikan akses listrik bersih bagi warga.</t>
  </si>
  <si>
    <t>https://images.unsplash.com/photo-1509391366360-2e959784a276?w=800&amp;q=75</t>
  </si>
  <si>
    <t>Wisuda 2025: 45 Lulusan Teknik Elektro Siap Terjun ke Industri</t>
  </si>
  <si>
    <t>2025-06-28</t>
  </si>
  <si>
    <t>Sebanyak 45 mahasiswa Teknik Elektro UPGRIS resmi diwisuda pada periode Juli 2025 dengan IPK rata-rata 3.35 dan masa studi rata-rata 4 tahun.</t>
  </si>
  <si>
    <t>https://images.unsplash.com/photo-1523050854058-8df90110c9f1?w=800&amp;q=75</t>
  </si>
  <si>
    <t>mahasiswa</t>
  </si>
  <si>
    <t>nim</t>
  </si>
  <si>
    <t>pembimbing</t>
  </si>
  <si>
    <t>tahun</t>
  </si>
  <si>
    <t>angkatan</t>
  </si>
  <si>
    <t>abstrak</t>
  </si>
  <si>
    <t>imageGallery</t>
  </si>
  <si>
    <t>demoUrl</t>
  </si>
  <si>
    <t>laporanUrl</t>
  </si>
  <si>
    <t>Sistem Monitoring Energi Listrik Rumah Tangga Berbasis IoT dan Mobile App</t>
  </si>
  <si>
    <t>Budi Santoso, Andi Wijaya</t>
  </si>
  <si>
    <t>Rina Puspita Dewi, S.T., M.Eng.</t>
  </si>
  <si>
    <t>2024/2025</t>
  </si>
  <si>
    <t>IoT</t>
  </si>
  <si>
    <t>Sistem monitoring konsumsi energi listrik secara real-time menggunakan ESP32, sensor PZEM-004T, dan aplikasi Android untuk visualisasi data dan peringatan dini pemborosan energi.</t>
  </si>
  <si>
    <t>https://images.unsplash.com/photo-1558618666-fcd25c85cd64?w=800&amp;q=75</t>
  </si>
  <si>
    <t>[]</t>
  </si>
  <si>
    <t>/content/capstone/capstone-1.md</t>
  </si>
  <si>
    <t>https://drive.google.com/file/d/dummy_laporan_c1</t>
  </si>
  <si>
    <t>Prototipe PLTS Off-Grid dengan MPPT Adaptif untuk Daerah Terpencil</t>
  </si>
  <si>
    <t>Fitri Rahayu</t>
  </si>
  <si>
    <t>Muhamad Fauzi, S.T., M.T.</t>
  </si>
  <si>
    <t>Energi</t>
  </si>
  <si>
    <t>Rancang bangun sistem PLTS off-grid 200Wp dengan algoritma Maximum Power Point Tracking adaptif berbasis fuzzy logic untuk optimasi pengisian baterai di daerah terpencil.</t>
  </si>
  <si>
    <t>/content/capstone/capstone-2.md</t>
  </si>
  <si>
    <t>https://drive.google.com/file/d/dummy_laporan_c2</t>
  </si>
  <si>
    <t>Robot Lengan 4-DOF dengan Kontrol Inverse Kinematics untuk Sortir Produk Industri</t>
  </si>
  <si>
    <t>Rizky Permana, Dino Saputra, Wahyu Nugroho</t>
  </si>
  <si>
    <t>Yoga Pratama, S.T., M.T.</t>
  </si>
  <si>
    <t>Kontrol</t>
  </si>
  <si>
    <t>Robot lengan 4-DOF berbasis servo motor dengan algoritma inverse kinematics untuk sorting produk berdasarkan warna dan ukuran menggunakan OpenCV dan Raspberry Pi.</t>
  </si>
  <si>
    <t>/content/capstone/capstone-3.md</t>
  </si>
  <si>
    <t>https://www.youtube.com/watch?v=dQw4w9WgXcQ</t>
  </si>
  <si>
    <t>https://drive.google.com/file/d/dummy_laporan_c3</t>
  </si>
  <si>
    <t>Sistem Smart Home Berbasis Suara dengan Natural Language Processing Lokal</t>
  </si>
  <si>
    <t>Sinta Maharani</t>
  </si>
  <si>
    <t>Diah Permata Sari, S.T., M.Kom.</t>
  </si>
  <si>
    <t>2023/2024</t>
  </si>
  <si>
    <t>Implementasi smart home controller berbasis ESP32 dengan pengenalan perintah suara menggunakan model NLP ringan yang berjalan secara offline tanpa koneksi cloud.</t>
  </si>
  <si>
    <t>https://images.unsplash.com/photo-1558002038-1055907df827?w=800&amp;q=75</t>
  </si>
  <si>
    <t>/content/capstone/capstone-4.md</t>
  </si>
  <si>
    <t>https://drive.google.com/file/d/dummy_laporan_c4</t>
  </si>
  <si>
    <t>Alat Ukur Kualitas Daya Portable Berbasis Mikrokontroler dengan Antarmuka Touchscreen</t>
  </si>
  <si>
    <t>Ahmad Faisal, Eko Prasetyo</t>
  </si>
  <si>
    <t>Drs. Hendra Kusuma, M.T.</t>
  </si>
  <si>
    <t>Elektronika</t>
  </si>
  <si>
    <t>Perangkat portable untuk pengukuran parameter kualitas daya listrik (THD, daya reaktif, faktor daya) dengan display touchscreen dan logging data ke microSD.</t>
  </si>
  <si>
    <t>https://drive.google.com/file/d/dummy_laporan_c5</t>
  </si>
  <si>
    <t>Sistem Telemetri Jaringan Distribusi 20kV Berbasis LoRa WAN</t>
  </si>
  <si>
    <t>Bagas Wicaksono</t>
  </si>
  <si>
    <t>Sri Wahyuni, S.T., M.T.</t>
  </si>
  <si>
    <t>Telekomunikasi</t>
  </si>
  <si>
    <t>Implementasi sistem telemetri jaringan distribusi menggunakan teknologi LoRa WAN untuk pemantauan parameter listrik pada gardu distribusi jarak jauh tanpa infrastruktur seluler.</t>
  </si>
  <si>
    <t>https://images.unsplash.com/photo-1544197150-b99a580bb7a8?w=800&amp;q=75</t>
  </si>
  <si>
    <t>/content/capstone/capstone-6.md</t>
  </si>
  <si>
    <t>https://drive.google.com/file/d/dummy_laporan_c6</t>
  </si>
  <si>
    <t>nama</t>
  </si>
  <si>
    <t>nidn</t>
  </si>
  <si>
    <t>jabatan</t>
  </si>
  <si>
    <t>bidang</t>
  </si>
  <si>
    <t>pendidikan</t>
  </si>
  <si>
    <t>mataKuliah</t>
  </si>
  <si>
    <t>sertifikasi</t>
  </si>
  <si>
    <t>sinta</t>
  </si>
  <si>
    <t>scholar</t>
  </si>
  <si>
    <t>foto</t>
  </si>
  <si>
    <t>Dr. Ir. Adhi Kusmantoro, ST, MT</t>
  </si>
  <si>
    <t>Lektor</t>
  </si>
  <si>
    <t>Sistem Tenaga Listrik &amp; Smart Grid</t>
  </si>
  <si>
    <t>{'S3': 'Teknik Elektro, UGM / Tenaga Listrik'}</t>
  </si>
  <si>
    <t>Pembangkit Listrik Energi Terbarukan, Teknik Kontrol Digital, Metodologi Penelitian</t>
  </si>
  <si>
    <t>PII, Sertifikasi Dosen</t>
  </si>
  <si>
    <t>https://sinta.kemdiktisaintek.go.id/authors/profile/6093223</t>
  </si>
  <si>
    <t>https://scholar.google.com/citations?user=pUC2OpkAAAAJ&amp;hl=id</t>
  </si>
  <si>
    <t>DTPS</t>
  </si>
  <si>
    <t>Ir. Margono, ST, M.Eng</t>
  </si>
  <si>
    <t>Elektronika &amp; Sistem Kontrol</t>
  </si>
  <si>
    <t>Teknik Elektro, UGM / Tenaga Listrik</t>
  </si>
  <si>
    <t>Rangkaian Listrik,
ullalisis Tenaga Listrik</t>
  </si>
  <si>
    <t>BNSP Tenaga Listrik</t>
  </si>
  <si>
    <t>https://sinta.kemdiktisaintek.go.id/authors/profile/6081296</t>
  </si>
  <si>
    <t>https://scholar.google.com/citations?hl=id&amp;user=jkzdW3oAAAAJ</t>
  </si>
  <si>
    <t>Ir. Muhammad Amiruddin, ST., M.Eng</t>
  </si>
  <si>
    <t>Telekomunikasi &amp; Jaringan</t>
  </si>
  <si>
    <t>Teknik Elektro UGM / Sistem Kendali</t>
  </si>
  <si>
    <t>BNSP Otomasi Industri</t>
  </si>
  <si>
    <t>https://sinta.kemdiktisaintek.go.id/authors/profile/6705402</t>
  </si>
  <si>
    <t>https://scholar.google.com/citations?hl=id&amp;user=DalN47AAAAAJ</t>
  </si>
  <si>
    <t>Ir. Imadudin Harjanto, S.T., M.Eng</t>
  </si>
  <si>
    <t>Instrumentasi &amp; Pengukuran</t>
  </si>
  <si>
    <t>Teknik Elektro, UGM / Jaringan Komputer</t>
  </si>
  <si>
    <t>Jaringan Komputer, Elektronika Digital, Matematika Diskret</t>
  </si>
  <si>
    <t>https://sinta.kemdiktisaintek.go.id/authors/profile/6729925</t>
  </si>
  <si>
    <t>https://scholar.google.com/citations?hl=id&amp;user=sx17Ot8AAAAJ</t>
  </si>
  <si>
    <t>Ir. Bambang Hadi Kunaryo, ST, MT</t>
  </si>
  <si>
    <t>Asisten Ahli</t>
  </si>
  <si>
    <t>Internet of Things &amp; Embedded Systems</t>
  </si>
  <si>
    <t>Teknik Elektro, UNDIP / Telekomunikasi</t>
  </si>
  <si>
    <t>Dasar Telekomunikasi, Pengolahan Citra, Teknologi Informasi, Antarmuka dan Arsitektur Komputer, Jaringan komputer</t>
  </si>
  <si>
    <t>BNSP IoT</t>
  </si>
  <si>
    <t>https://sinta.kemdiktisaintek.go.id/authors/profile/6798124</t>
  </si>
  <si>
    <t>https://scholar.google.com/citations?hl=id&amp;user=2kR7e3UAAAAJ</t>
  </si>
  <si>
    <t>Ir. Irna Farikhah, Ph.D</t>
  </si>
  <si>
    <t>Energi Terbarukan &amp; Efisiensi Energi</t>
  </si>
  <si>
    <t>Fisika, UGM / Konversi Energi</t>
  </si>
  <si>
    <t>Konversi Energi</t>
  </si>
  <si>
    <t>https://sinta.kemdiktisaintek.go.id/authors/profile/6141827</t>
  </si>
  <si>
    <t>https://scholar.google.com/citations?hl=id&amp;user=UR3xdmgAAAAJ</t>
  </si>
  <si>
    <t>Dr. Sigit Ristanto</t>
  </si>
  <si>
    <t>Robotika &amp; Otomasi</t>
  </si>
  <si>
    <t>Pengolahan Citra, sensor tranduser</t>
  </si>
  <si>
    <t>https://sinta.kemdiktisaintek.go.id/authors/profile/6081359</t>
  </si>
  <si>
    <t>https://scholar.google.com/citations?hl=id&amp;user=Em1A_ZYAAAAJ</t>
  </si>
  <si>
    <t>Dr. Affandi Faisal</t>
  </si>
  <si>
    <t>Lektor Kepala</t>
  </si>
  <si>
    <t>Kecerdasan Buatan &amp; Pemrosesan Sinyal</t>
  </si>
  <si>
    <t>Fisika, UGM / Material Teknik</t>
  </si>
  <si>
    <t>Bahan-bahan Listrik, Sensor dan Tranduser, Fisika Listrik</t>
  </si>
  <si>
    <t>https://sinta.kemdiktisaintek.go.id/authors/profile/6642413</t>
  </si>
  <si>
    <t>https://scholar.google.com/citations?hl=id&amp;user=lzDthZwAAAAJ</t>
  </si>
  <si>
    <t>kode</t>
  </si>
  <si>
    <t>sks</t>
  </si>
  <si>
    <t>semester</t>
  </si>
  <si>
    <t>tipe</t>
  </si>
  <si>
    <t>rpsUrl</t>
  </si>
  <si>
    <t>Fisika Mekanika</t>
  </si>
  <si>
    <t>MKW</t>
  </si>
  <si>
    <t>Kalkulus</t>
  </si>
  <si>
    <t>Fisika Listrik</t>
  </si>
  <si>
    <t>Analisa Vektor</t>
  </si>
  <si>
    <t>Fisika Modern</t>
  </si>
  <si>
    <t>Perancangan Sistem Analog</t>
  </si>
  <si>
    <t>MKK</t>
  </si>
  <si>
    <t>Probabilitas Statistik</t>
  </si>
  <si>
    <t>Elektronika Daya</t>
  </si>
  <si>
    <t>Isyarat dan Sistem</t>
  </si>
  <si>
    <t>Komunikasi Data</t>
  </si>
  <si>
    <t>Matematika Diskrit</t>
  </si>
  <si>
    <t>Sistem Instrumentasi</t>
  </si>
  <si>
    <t>Transmisi dan Distribusi</t>
  </si>
  <si>
    <t>Variabel Kompleks</t>
  </si>
  <si>
    <t>Dasar Sistem Kendali</t>
  </si>
  <si>
    <t>Ke-PGRI-an</t>
  </si>
  <si>
    <t>MKU</t>
  </si>
  <si>
    <t>Komunikasi Nirkabel</t>
  </si>
  <si>
    <t>Kuliah Kerja Lapangan (KKL)</t>
  </si>
  <si>
    <t>Logika Fuzzy</t>
  </si>
  <si>
    <t>Pengolahan Isyarat Digital</t>
  </si>
  <si>
    <t>Sensor dan Tranduser</t>
  </si>
  <si>
    <t>Bahasa Inggris</t>
  </si>
  <si>
    <t>Embeded System</t>
  </si>
  <si>
    <t>Etika Profesi</t>
  </si>
  <si>
    <t>Kecerdasan Buatan</t>
  </si>
  <si>
    <t>Kewirausahaan berbasis Teknologi</t>
  </si>
  <si>
    <t>Manajemen Proyek dan K3</t>
  </si>
  <si>
    <t>Pendidikan Pancasila</t>
  </si>
  <si>
    <t>PLC</t>
  </si>
  <si>
    <t>Antarmuka dan Arsitektur Komputer</t>
  </si>
  <si>
    <t>Energi Terbarukan</t>
  </si>
  <si>
    <t>Manajemen Energi dan sistem Hybrid</t>
  </si>
  <si>
    <t>Manajemen Industri</t>
  </si>
  <si>
    <t>Pengolahan Citra</t>
  </si>
  <si>
    <t>Praktek Kerja Lapangan (PKL)</t>
  </si>
  <si>
    <t>Rekayasa Teknik Elektro</t>
  </si>
  <si>
    <t>Kuliah Kerja Nyata (KKN)</t>
  </si>
  <si>
    <t>Tugas Akhir</t>
  </si>
  <si>
    <t>jenis</t>
  </si>
  <si>
    <t>tingkat</t>
  </si>
  <si>
    <t>CV Standar</t>
  </si>
  <si>
    <t>BUMN</t>
  </si>
  <si>
    <t>Magang Industri</t>
  </si>
  <si>
    <t>Wilayah</t>
  </si>
  <si>
    <t>PT Autonics Indonesia</t>
  </si>
  <si>
    <t>Industri</t>
  </si>
  <si>
    <t>Pelatihan dan Pengabdian</t>
  </si>
  <si>
    <t>Nasional</t>
  </si>
  <si>
    <t>PT. AUTENTIK KARYA ANALITIKA</t>
  </si>
  <si>
    <t>PT Norgantara</t>
  </si>
  <si>
    <t>BUMD</t>
  </si>
  <si>
    <t>Guangxi Modern Polytechnic College</t>
  </si>
  <si>
    <t>Colaborative Teaching</t>
  </si>
  <si>
    <t>Internasional</t>
  </si>
  <si>
    <t>PT Mitra Daya Teknika</t>
  </si>
  <si>
    <t>SMU Setia Budi</t>
  </si>
  <si>
    <t>Pemerintah</t>
  </si>
  <si>
    <t>Kerjasama Pendidikan</t>
  </si>
  <si>
    <t>Universiti Teknologi Malaysia</t>
  </si>
  <si>
    <t>Gues Lecture</t>
  </si>
  <si>
    <t>Neijiang Vocational and Technical College China</t>
  </si>
  <si>
    <t>PT. FHG</t>
  </si>
  <si>
    <t>Universitas Muhammadiyah Semarang</t>
  </si>
  <si>
    <t>Asosiasi Profesi</t>
  </si>
  <si>
    <t>Universitas Teknologi Yogyakarta</t>
  </si>
  <si>
    <t xml:space="preserve">Kunjungan Benchmark </t>
  </si>
  <si>
    <t>LSK GEMA PEDEKABE</t>
  </si>
  <si>
    <t>Lembaga Sertifikasi</t>
  </si>
  <si>
    <t>Laksana Bus</t>
  </si>
  <si>
    <t>Iloilo Science and Technology University</t>
  </si>
  <si>
    <t>Student Exchange</t>
  </si>
  <si>
    <t>CV. Bintang Anugerah Elektrik</t>
  </si>
  <si>
    <t>PT. Omni Electrindo</t>
  </si>
  <si>
    <t>NUEVA ECIJA UNIVERSITY OF SCIENCE AND TECHNOLOGY</t>
  </si>
  <si>
    <t>Pertukaran dosen dan mahasiswa</t>
  </si>
  <si>
    <t>XXVTC ( Xinxiang Vocational and Technical College)</t>
  </si>
  <si>
    <t>PT Nocola IoT Solution</t>
  </si>
  <si>
    <t>Mitra DUDI Penyusunan Kurikulum</t>
  </si>
  <si>
    <t>PT. Asia Pacific Fibers Tbk.</t>
  </si>
  <si>
    <t>dosen</t>
  </si>
  <si>
    <t>dana</t>
  </si>
  <si>
    <t>sumber</t>
  </si>
  <si>
    <t>roadmap</t>
  </si>
  <si>
    <t>PENGEMBANGAN STADIOMETER DIGITAL UNTUK DETEKSI DINI RISIKO STUNTING PADA ANAK-ANAK USIA DI BAWAH 5 TAHUN</t>
  </si>
  <si>
    <t>Slamet Supriyadi REGULER ( PTH ) Margono; Bambang Hadi Kunaryo;</t>
  </si>
  <si>
    <t> 2025  </t>
  </si>
  <si>
    <t>Rp7,500,000.00</t>
  </si>
  <si>
    <t>LPPM</t>
  </si>
  <si>
    <t>DESAIN SISTEM KENDALI SUHU RUANG PEMANAS DENGAN METODE ULTIMATE CYCLE</t>
  </si>
  <si>
    <t>Ganjar Winasis REGULER ( DOSEN PEMULA ) Bambang Hadi Kunaryo;</t>
  </si>
  <si>
    <t>Rp10,000,000.00</t>
  </si>
  <si>
    <t>Mandiri</t>
  </si>
  <si>
    <t>EKSTRAKSI KARAGEnull RUMPUT LAUT (GRACILARIA GIGAS) MENGGUNAKAN METODE REFLUKS DAN PENGAPLIKASIANNYA PADA ENKAPSULAN EKSTRAK KULIT BUAH MANGGIS (GARCINIA MANGOSTANA L.)</t>
  </si>
  <si>
    <t>Muhammad Amiruddin MANDIRI ( MANDIRI ) Imadudin Harjanto; Bambang Hadi Kunaryo; Affandi Faisal Kurniawan; Sigit Ristanto;</t>
  </si>
  <si>
    <t> 2024  </t>
  </si>
  <si>
    <t>PEMANFAATAN AERATOR BERPENGGERAK TURBIN SAVONIUS DARRIEUS UNTUK PENINGKATAN HASIL PRODUKSI PADA TAMBAK PEMBESARAN IKAN BANDENG (CHANOS CHANOS FORSKAL)</t>
  </si>
  <si>
    <t>Rizky Muliani Dwi Ujianti REGULER - DASAR/FUNDAMENTAL ( REGULER - DASAR/FUNDAMENTAL ) Althesa Androva; Bambang Hadi Kunaryo;</t>
  </si>
  <si>
    <t> 2023  </t>
  </si>
  <si>
    <t>PENINGKATAN DAYA PV TERHUBUNG KE GRID DENGAN KOORDINASI KONTROL MPPT</t>
  </si>
  <si>
    <t>Rizky Muliani Dwi Ujianti REGULER ( REG ) Althesa Androva; Bambang Hadi Kunaryo; Nur Aksin;</t>
  </si>
  <si>
    <t> 2021  </t>
  </si>
  <si>
    <t>Rp5,000,000.00</t>
  </si>
  <si>
    <t>DESAIN MODEL FUZZY LOGIC UNTUK PENILAIAN KUALITAS AIR SUMUR BERDASARKAN PARAMETER SALINITAS, PH, DAN KEKERUHAN DI SEMARANG</t>
  </si>
  <si>
    <t>Adhi Kusmantoro PENELITIAN REGULER ( REGULER ) Bambang Hadi Kunaryo;</t>
  </si>
  <si>
    <t>Rp9,000,000.00</t>
  </si>
  <si>
    <t>PENGELOLAAN BANJIR DENGAN SISTEM POLDER BERBASIS TEKNOLOGI INFORMASI DAN IOT</t>
  </si>
  <si>
    <t>Agus Mukhtar REGULER ( DOSEN PEMULA ) Aan Burhanudin; Muhammad Amiruddin; Rifki Hermana;</t>
  </si>
  <si>
    <t>Rp90,000,000.00</t>
  </si>
  <si>
    <t>DESAIN MULTI-KONVERTER UNTUK PENGATURAN TEGANGAN DC MIKROGRID DENGAN FUZZY LOGIC</t>
  </si>
  <si>
    <t>Ikhwanudin PENELITIAN DESENTRALISASI ( PDUPT ) Farida Yudaningrum; Imadudin Harjanto;</t>
  </si>
  <si>
    <t>Rp6,500,000.00</t>
  </si>
  <si>
    <t>DRTPM</t>
  </si>
  <si>
    <t>DESAIN BATERAI INVERTER SATU FASA DENGAN KONTROL PI-FUZZY UNTUK PENINGKATAN STABILITAS DAYA AC MIKROGRID</t>
  </si>
  <si>
    <t>Adhi Kusmantoro REGULER ( REG ) Irna Farikhah;</t>
  </si>
  <si>
    <t>Rp218,316,000.00</t>
  </si>
  <si>
    <t>PENELITIAN KOMPETITIF NASIONAL ( PENELITIAN TERAPAN KOMPETITIF NASIONAL )</t>
  </si>
  <si>
    <t>PRODUK INOVASI TEKNOLOGI HYBRID POMPA AIR MENGGUNAKAN INTERNET OF THING (IOT), WIND TURBINE DAN SOLAR PANEL SEBAGAI SALAH SATU SOLUSI PENGAIRAN AIR SAWAH DI WILAYAH DEMAK</t>
  </si>
  <si>
    <t>Adhi Kusmantoro  Irna Farikhah;</t>
  </si>
  <si>
    <t> 2022  </t>
  </si>
  <si>
    <t>Rp20,000,000.00</t>
  </si>
  <si>
    <t>HIBAH APBU ( APBU )</t>
  </si>
  <si>
    <t>OPTIMASI PENDINGIN TERMOAKUSTIK DENGAN TENAGA MESIN TERMOAKUSTIK MEMANFAATKAN LIMBAH PANAS DAN MATAHARI</t>
  </si>
  <si>
    <t>Achmad Buchori  Adhi Kusmantoro; Aan Burhanudin;</t>
  </si>
  <si>
    <t>Rp99,664,000.00</t>
  </si>
  <si>
    <t> PENELITIAN DESENTRALISASI ( PDUPT )</t>
  </si>
  <si>
    <t>Formulasi Pembelajaran Fisika Kontekstual Berorientasi Swasembada Energi Untuk Meningkatkan Literasi Energi Siswa</t>
  </si>
  <si>
    <t>Irna Farikhah Harto Nuroso; Mega Novita;</t>
  </si>
  <si>
    <t>Penelitian Kompetitif Nasional ( PFR )</t>
  </si>
  <si>
    <t>PENGEMBANGAN MEDIA PEMBELAJARAN FISIKA BERBASIS KERANGKA KERJA DEEP LEARNING UNTUK MENINGKATKAN MINAT BELAJAR DAN KEMAMPUAN PEMECAHAN MASALAH SISWA</t>
  </si>
  <si>
    <t>Nur Khoiri Sigit Ristanto; Affandi Faisal Kurniawan;</t>
  </si>
  <si>
    <t>REGULER ( PTH )</t>
  </si>
  <si>
    <t>RANCANG BANGUN PROTOTYPE ALAT UKUR POSISI BENDA BERBASIS CITRA STEREOSKOPIK</t>
  </si>
  <si>
    <t>Sigit Ristanto Nur Khoiri; Affandi Faisal Kurniawan;</t>
  </si>
  <si>
    <t> REGULER ( REG )</t>
  </si>
  <si>
    <t>STUDY ON LOW SYMMETRY EFFECT OF A2BF6 CRYSTALS DOPED MN4+</t>
  </si>
  <si>
    <t>Sigit RistantoNur Khoiri; Affandi Faisal Kurniawan;</t>
  </si>
  <si>
    <t>KERJASAMA LUAR NEGERI ( KLN )</t>
  </si>
  <si>
    <t>TRACER STUDY PENDIDIKAN FISIKA UNIVERSITAS PGRI SEMARANG PADA ALUMNI LULUSAN TAHUN 2018-2022</t>
  </si>
  <si>
    <t>Mega Novita Sigit Ristanto; Ernawati Saptaningrum; Slamet Supriyadi;</t>
  </si>
  <si>
    <t>PENUGASAN ( PENUGASAN )</t>
  </si>
  <si>
    <t>PENGEMBANGAN E-LKPD BERBASIS MASALAH POKOK BAHASAN PENGUKURAN BESARAN FISIS UNTUK MENINGKATKAN PEMAHAnull KONSEP DAN KEMAMPUAN PENGAMBILAN KEPUTUSAN</t>
  </si>
  <si>
    <t>Sigit Ristanto Affandi Faisal Kurniawan; Ummi Kaltsum; Ernawati Saptaningrum;</t>
  </si>
  <si>
    <t>PENGEMBANGAN E-LKPD BERBASIS PENYELESAIAN MASALAH PADA POKOK BAHASAN ENERGI TERBARUKAN UNTUK MENINGKATKAN PEMAHAMAN KONSEP DAN PENGAMBILAN KEPUTUSAN</t>
  </si>
  <si>
    <t>HIBAH APBU ( HIBAH APBU )</t>
  </si>
  <si>
    <t>PROFIL MINAT SISWA SLTA DALAM MELANJUTKAN STUDI DI PERGURAN TINGGI</t>
  </si>
  <si>
    <t>PENERAPAN PROJEK BASED LEARNING (PJBL) UNTUK MENINGKATKAN KREATIVITAS DAN KETERAMPILAN KERJASAMA PESERTA DIDIK DALAM PEMBELAJARAN FISIKA</t>
  </si>
  <si>
    <t>Nur Khoiri Sapto Budoyo; Senowarsito; Sigit Ristanto;</t>
  </si>
  <si>
    <t>PREPARASI DAN OPTIMASI KETEBALAN LAPISAN TUNGGAL BAHAN NON MAGNETIK ENCENG GONDOK MENGGUNAKAN MATLAB SEBAGAI RADAR ABSORBER MATERIAL</t>
  </si>
  <si>
    <t>REGULER ( PTK )</t>
  </si>
  <si>
    <t>Studi Sifat Optik Fosfor Merah berbasis Hafnium (Hf) untuk White LED</t>
  </si>
  <si>
    <t>Nur Khoiri Affandi Faisal Kurniawan; Joko Saefan;</t>
  </si>
  <si>
    <t>PENGEMBANGAN ALAT PERAGA ENERGI TERBARUKAN BERBASIS IOT DENGAN PENDEKATAN ESD UNTUK MENINGKATKAN KETERAMPILAN GENERIK SAINS</t>
  </si>
  <si>
    <t>Mega Novita Penelitian Kompetitif Nasional ( PFR )Rizky Muliani Dwi Ujianti; Affandi Faisal Kurniawan; Nur Latifah Dwi Mutiara Sari;</t>
  </si>
  <si>
    <t>Studi Pengaruh Jenis, Komposisi, dan Tekanull Gas Kerja Terhadap Kinerja Pembangkit Listrik Termoakustik</t>
  </si>
  <si>
    <t>Affandi Faisal Kurniawan REGULER ( REGULER )Nur Khoiri; Joko Saefan;</t>
  </si>
  <si>
    <t>Rp132,060,000.00</t>
  </si>
  <si>
    <t>KONVERSI ENERGI PANAS MENJADI ENERGI AKUSTIK
DARI MESIN TERMOAKUSTIK</t>
  </si>
  <si>
    <t>IKHSAN SETIAWANAGUNG BAMBANG SETIO, PRASTOWO MURTI UTOMO, IRNA FARIKHAH</t>
  </si>
  <si>
    <t>Rp24,500,000.00</t>
  </si>
  <si>
    <t xml:space="preserve">Pengembangan Peredam Panas Ramah Lingkungan pada Atap Bangunull Berbasis Serat Kelapa
</t>
  </si>
  <si>
    <t>Irna FarikhahNur Khoiri, Setyoningsih Wibowo,</t>
  </si>
  <si>
    <t>Rp15,000,000.00</t>
  </si>
  <si>
    <t>Ekstraksi Karagenull Rumput Laut (Gracilaria gigas) Menggunakan Metode Refluks dan Pengaplikasiannya pada Enkapsulan Ekstrak Kulit Buah Manggis (Garcinia mangostana L.)</t>
  </si>
  <si>
    <t>Dr SLAMET SUPRIYADI, M.Env.St.Margono, ST., M.Eng; Bambang Hadi Kunaryo, S.T., M.T.; Winda Margaretha; Silfia Dea Anullta; Sisilia Nava Brillian Angelica</t>
  </si>
  <si>
    <t>Rp12,000,000.00</t>
  </si>
  <si>
    <t xml:space="preserve">PEMANFAATAN AERATOR BERPENGGERAK TURBIN SAVONIUS DARRIEUS UNTUK PENINGKATAN HASIL PRODUKSI PADA TAMBAK PEMBESARAN IKAN BANDENG (Chanos Chanos Forskal)
</t>
  </si>
  <si>
    <t>Dr.Pi Rizky Muliani Dwi Ujianti, S.Pi., M.SiAlthesa Androva, S.T., M.Eng; Bambang Hadi Kunaryo, S.T., M.T.; CARISA ZAHRA AZURA; RIHMA NUR HAYATI; ALIFAH DWI SUSANTI</t>
  </si>
  <si>
    <t>Rekayasa Formulasi Kerupuk Ikan Berbasis Kombinasi Daging Lele (Clarias sp.) dan Tenggiri (Scomberomorus sp.) serta Implikasinya terhadap Sifat Fisik, Kimia, dan Sensorik Produk</t>
  </si>
  <si>
    <t xml:space="preserve">Dr.Pi Rizky Muliani Dwi Ujianti, S.Pi., M.Si
Althesa Androva, S.T., M.Eng; Bambang Hadi Kunaryo, S.T., M.T.; Nur Aksin, S.Ag., M.SI; KHOIRUS SA`ADAH; LAILATUS SA'DIYAH SEPTIYANI; MUTIARA SABATINA PUTRIYANTO
</t>
  </si>
  <si>
    <t>Rp12,500,000.00</t>
  </si>
  <si>
    <t>Preparasi, Karakterisasi, dan Optimasi Ketebalan Lapisan Tunggal Bahan Non Magnetik Sekam Padi sebagai Radar Absorber Material</t>
  </si>
  <si>
    <t>Dr.Pi Rizky Muliani Dwi Ujianti, S.Pi., M.SiAlthesa Androva, S.T., M.Eng; Bambang Hadi Kunaryo, S.T., M.T.; MUTIARA FITRI RAHMANINGTYAS; ARINA AINI NURUL KHASANAH; Abdillah Fathan Generus Annajah</t>
  </si>
  <si>
    <t xml:space="preserve">Pengembangan Media Pembelajaran Fisika Berbasis Kerangka Kerja Deep Learning untuk Meningkatkan Minat Belajar dan Kemampuan Pemecahan Masalah Siswa
</t>
  </si>
  <si>
    <t>Dr. Affandi Faisal Kurniawan, S.Si.,M.Sc.Prof. Dr. Nur Khoiri, S.Pd., M.T., M.Pd.; Dr. Sigit Ristanto, ST., M.Sc; Joko Saefan, M. Sc.; Naifah Istya Putri Aprilia; Nadroti Hidayatun Ni’mah; Murtiningsih</t>
  </si>
  <si>
    <t>Pengaruh Pemberian Cat pada Atap Bangunull Terhadap Laju Transfer Panas</t>
  </si>
  <si>
    <t xml:space="preserve">Dr. Sigit Ristanto, ST., M.Sc
Prof. Dr. Nur Khoiri, S.Pd., M.T., M.Pd.; Dr. Affandi Faisal Kurniawan, S.Si.,M.Sc.; Emila Luthfia Sofa; Julia; Dwi Amiliya Putri
</t>
  </si>
  <si>
    <t>Rp23,000,000.00</t>
  </si>
  <si>
    <t>Rancang Bangun Prototype Alat Ukur Posisi Benda Berbasis Citra Stereoskopik</t>
  </si>
  <si>
    <t xml:space="preserve">Dr. Sigit Ristanto, ST., M.ScDr SLAMET SUPRIYADI, M.Env.St.; Dr. Baju Arie Wibawa, S.T., M.T; Winda Margaretha; Yunita Dwi Saputri Ome; Pramudhita Alfina Damayanti
</t>
  </si>
  <si>
    <t>lPPM</t>
  </si>
  <si>
    <t xml:space="preserve">PREDICTING CRYSTAL SYSTEMS OF LI-ION BATTERY CATHODES USING MACHINE LEARNING
</t>
  </si>
  <si>
    <t xml:space="preserve">Dr. Sigit Ristanto, ST., M.ScProf. Dr. Nur Khoiri, S.Pd., M.T., M.Pd.; Dr. Affandi Faisal Kurniawan, S.Si.,M.Sc.; Nur Roikhana Zulfa; Pramudhita Alfina Damayanti; Ratih Meiwulan
</t>
  </si>
  <si>
    <t>Rp50,000,000.00</t>
  </si>
  <si>
    <t>PROGRAM PENELITIAN INTERNAL 
SKEMA KERJASAMA LUAR NEGERI</t>
  </si>
  <si>
    <t xml:space="preserve">Pengembangan E-LKPD Berbasis Masalah Pokok Bahasan Pengukuran Besaran Fisis Untuk Meningkatkan Pemahanull Konsep dan Kemampuan Pengambilan Keputusan
</t>
  </si>
  <si>
    <t xml:space="preserve">Dr.Pi Rizky Muliani Dwi Ujianti, S.Pi., M.Si
Dr. Sigit Ristanto, ST., M.Sc; Bambang Agus Herlambang, S.Kom., M.Kom; Rina Widyawati; Sri Wahyuni; Tri Ambarwati Mardikaningrum; Prof. Kazuyoshi Ogasawara
</t>
  </si>
  <si>
    <t>Reguler</t>
  </si>
  <si>
    <t>deskripsi</t>
  </si>
  <si>
    <t>lampiran</t>
  </si>
  <si>
    <t>Pendaftaran Seminar Proposal Skripsi Semester Gasal 2025/2026</t>
  </si>
  <si>
    <t>2025-11-01</t>
  </si>
  <si>
    <t>Mahasiswa yang telah memenuhi syarat akademik dapat mendaftar seminar proposal skripsi mulai 1 November hingga 30 November 2025.</t>
  </si>
  <si>
    <t>/content/pengumuman/pengumuman-1.md</t>
  </si>
  <si>
    <t>https://drive.google.com/file/d/dummy_lampiran_1</t>
  </si>
  <si>
    <t>Jadwal UAS Semester Gasal 2025/2026</t>
  </si>
  <si>
    <t>2025-12-01</t>
  </si>
  <si>
    <t>Ujian Akhir Semester Gasal 2025/2026 akan dilaksanakan pada 15–26 Desember 2025. Mahasiswa wajib membawa KTM dan sudah melunasi UKT.</t>
  </si>
  <si>
    <t>https://drive.google.com/file/d/dummy_jadwal_uas</t>
  </si>
  <si>
    <t>Informasi Beasiswa Unggulan Kemendikbud 2025</t>
  </si>
  <si>
    <t>2025-10-15</t>
  </si>
  <si>
    <t>Prodi membuka pendaftaran rekomendasi beasiswa unggulan Kemendikbud bagi mahasiswa aktif semester 3–6 dengan IPK minimal 3.20.</t>
  </si>
  <si>
    <t>Kemahasiswaan</t>
  </si>
  <si>
    <t>/content/pengumuman/pengumuman-3.md</t>
  </si>
  <si>
    <t>Kebijakan Baru: Ketentuan Perwalian Online Semester Genap 2025/2026</t>
  </si>
  <si>
    <t>2025-09-20</t>
  </si>
  <si>
    <t>Mulai semester genap 2025/2026 seluruh proses perwalian akademik dilakukan secara online melalui SIM Akademik UPGRIS.</t>
  </si>
  <si>
    <t>Kebijakan</t>
  </si>
  <si>
    <t>Pendaftaran Kerja Praktek Semester Gasal 2025/2026</t>
  </si>
  <si>
    <t>2025-08-10</t>
  </si>
  <si>
    <t>Mahasiswa semester 6 yang berencana mengambil Kerja Praktek wajib mendaftar melalui portal akademik dan menyerahkan proposal KP kepada prodi.</t>
  </si>
  <si>
    <t>https://drive.google.com/file/d/dummy_form_kp</t>
  </si>
  <si>
    <t>PKM PROGRAM PERBAIKAN DAN EDUKASI PENGGUNAAN PERALATAN AUDIO BAGI PANTI ASUHAN FACHRUDIN SEMARANG</t>
  </si>
  <si>
    <t>Bambang Hadi KunaryoGanjar Winasis; Afeef Kurnia Rahmawan;</t>
  </si>
  <si>
    <t>Rp8,000,000.00</t>
  </si>
  <si>
    <t> REGULER ( PKM-REGULER )</t>
  </si>
  <si>
    <t>Energi Terbarukan Komunitas</t>
  </si>
  <si>
    <t>https://images.unsplash.com/photo-1509391366360-2e959784a276?w=600&amp;q=70</t>
  </si>
  <si>
    <t>/content/pkm/pkm-1.md</t>
  </si>
  <si>
    <t>PKM KELOMPOK PEMBUDIDAYA LELE: TEKNOLOGI ZERO WASTE AIR LIMBAH KOLAM BERBASIS IOT UNTUK PENINGKATAN PRODUKSI DAN PENCEGAHAN STUNTING PADA ANAK</t>
  </si>
  <si>
    <t>Rizky Muliani Dwi Ujianti Setyoningsih Wibowo; Bambang Hadi Kunaryo;</t>
  </si>
  <si>
    <t>Rp44,500,000.00</t>
  </si>
  <si>
    <t>KOMPETITIF NASIONAL ( PKM )</t>
  </si>
  <si>
    <t>Literasi Teknologi Industri</t>
  </si>
  <si>
    <t>PKM PENDAMPINGAN INSTALASI SISTEM CCTV UNTUK MASJID BAITUL ROHMAH PUDAK PAYUNG SEMARANG</t>
  </si>
  <si>
    <t>Margono Imadudin Harjanto; Bambang Hadi Kunaryo;</t>
  </si>
  <si>
    <t>PROGRAM KEMITRAAN MASYARAKAT ( PKM )</t>
  </si>
  <si>
    <t>Elektrifikasi Pedesaan</t>
  </si>
  <si>
    <t>https://images.unsplash.com/photo-1558618666-fcd25c85cd64?w=600&amp;q=70</t>
  </si>
  <si>
    <t>(PKM) PENDAMPINGAN PEMBENAHAN INSTALASI JARINGAN INTERNET LPQ ANNUR TANGGUL MAS BARAT SEMARANG</t>
  </si>
  <si>
    <t>Slamet Supriyadi Muhammad Amiruddin; Nur Aksin;</t>
  </si>
  <si>
    <t>MANDIRI ( PKM-MANDIRI )</t>
  </si>
  <si>
    <t>PENDAMPINGAN PEMBENAHAN INSTALASI KELISTRIKAN GENSET PANTI ASUHAN SULTAN FATAH NGALIYAN SEMARANG</t>
  </si>
  <si>
    <t>Margono Muhammad Amiruddin; Imadudin Harjanto;</t>
  </si>
  <si>
    <t>PROGRAM KEMITRAAN MAYSARAKAT-REGULER ( PKM-REGULER )</t>
  </si>
  <si>
    <t>SOSIALISASI UMKM TERKAIT INOVASI LABEL PEYEK</t>
  </si>
  <si>
    <t>Muhammad Amiruddin Personils : -</t>
  </si>
  <si>
    <t>Rp1,320,000.00</t>
  </si>
  <si>
    <t>REGULER ( REG )</t>
  </si>
  <si>
    <t>PENDAMPINGAN PENCEGAHAN WASPADA DEMAM BERDARAH</t>
  </si>
  <si>
    <t>Muhammad AmiruddinPersonils : -</t>
  </si>
  <si>
    <t>PENDAMPINGAN PENGENALAN TEKNOLOGI INFORMASI DAN KOMUNIKASI DALAM PEMASANG WIFI SETIAP WILAYAH KUPANG LOR AMBARAWA, KABUPATEN SEMARANG</t>
  </si>
  <si>
    <t>Rp1,760,000.00</t>
  </si>
  <si>
    <t>Pemberdayaan Masyarakat Peternak Sapi Lokal Di Desa Kuripan Kecamatan Karangawen Kabupaten Demak Menuju Desa Sentra Energi Terbarukan</t>
  </si>
  <si>
    <t>Achmad Buchori Suwarno Widodo; Siti Maisyaroh Bakti Pertiwi; Adhi Kusmantoro;</t>
  </si>
  <si>
    <t>Rp101,121,000.00</t>
  </si>
  <si>
    <t>Pengabdian Kepada Masyarakat Kompetitif Nasional ( PDB )</t>
  </si>
  <si>
    <t>PELATIHAN MADING DIGITAL BERBASIS WEB BAGI KOMUNITAS SENI HYSTERIA SEMARANG</t>
  </si>
  <si>
    <t>Theodora Indriati Wardani Adhi Kusmantoro; Irna Farikhah;</t>
  </si>
  <si>
    <t>Rp5,750,000.00</t>
  </si>
  <si>
    <t>PKM BAGI SD NEGERI KALIBANTENG KULON 01 SEMARANG</t>
  </si>
  <si>
    <t>Adhi Kusmantoro Irna Farikhah; Theodora Indriati Wardani;</t>
  </si>
  <si>
    <t>Rp6,000,000.00</t>
  </si>
  <si>
    <t>PENGUATAN PEMBUATAN MEDIA PEMBELAJARAN INTERAKTIF BERBASIS IT MGMP IPA BLORA</t>
  </si>
  <si>
    <t>Affandi Faisal Kurniawan REGULER ( PKM-REGULER )Nur Khoiri; Sigit Ristanto;</t>
  </si>
  <si>
    <t>PENGUATAN PEMBUATAN MEDIA PEMBELAJARAN INTERAKTIF BERBASIS IT MGMP IPA GROBOGAN</t>
  </si>
  <si>
    <t>Affandi Faisal Kurniawan PROGRAM KEMITRAAN MAYSARAKAT-REGULER ( PKM-REGULER )Nur Khoiri; Sigit Ristanto;</t>
  </si>
  <si>
    <t>PKM MODEL PEMBELAJARAN BERBASIS DIGITAL BAGI GURU-GURU SMPN 3 SEMARANG</t>
  </si>
  <si>
    <t>Maria Yosephine Widarti Lestari PROGRAM KEMITRAAN MAYSARAKAT-REGULER ( PKM-REGULER )Sigit Ristanto; Jafar Sodiq;</t>
  </si>
  <si>
    <t>MEMBUAT MEDIA UNTUK POJOK BACA DI KABUPATEN KENDAL</t>
  </si>
  <si>
    <t>Sigit Ristanto REGULER ( REG )Personils : -</t>
  </si>
  <si>
    <t>Rp1,650,000.00</t>
  </si>
  <si>
    <t>PENGEDUKASIAN TERHADAP WARGA DESA LIMBANGAN, KENDAL UNTUK PEMANFAATAN LIMBAH ORGANIC MENJADI SABUN SERBA GUNA</t>
  </si>
  <si>
    <t>Rp1,430,000.00</t>
  </si>
  <si>
    <t>PENGUATAN KARYA ILMIAH REMAJA (KIR) SISWA MAN 1 KOTA SEMARANG</t>
  </si>
  <si>
    <t>Sigit Ristanto PROGRAM KEMITRAAN MASYARAKAT-REGULER ( PKM-REG )Nur Khoiri; Affandi Faisal Kurniawan;</t>
  </si>
  <si>
    <t>PKM PENGUATAN PENYUSUnull KARYA TULIS ILMIAH MGMP FISIKA KABUPATEN BOYOLALI</t>
  </si>
  <si>
    <t>Sigit Ristanto PROGRAM KEMITRAAN MAYSARAKAT-PENUGASAN ( PKM-PENUGASAN )Nur Khoiri; Affandi Faisal Kurniawan;</t>
  </si>
  <si>
    <t>Rp14,000,000.00</t>
  </si>
  <si>
    <t>jenjang</t>
  </si>
  <si>
    <t>universitas</t>
  </si>
  <si>
    <t>fakultas</t>
  </si>
  <si>
    <t>akreditasi</t>
  </si>
  <si>
    <t>noSK</t>
  </si>
  <si>
    <t>masaBerlakuSK</t>
  </si>
  <si>
    <t>mahasiswaAktif</t>
  </si>
  <si>
    <t>ipkRataRata</t>
  </si>
  <si>
    <t>waktuTungguKerja</t>
  </si>
  <si>
    <t>kesesuaianBidang</t>
  </si>
  <si>
    <t>gelar</t>
  </si>
  <si>
    <t>email</t>
  </si>
  <si>
    <t>telepon</t>
  </si>
  <si>
    <t>alamat</t>
  </si>
  <si>
    <t>visi</t>
  </si>
  <si>
    <t>misi</t>
  </si>
  <si>
    <t>tujuan</t>
  </si>
  <si>
    <t>kebijakan</t>
  </si>
  <si>
    <t>Teknik Elektro</t>
  </si>
  <si>
    <t>Sarjana (S1)</t>
  </si>
  <si>
    <t>Universitas PGRI Semarang (UPGRIS)</t>
  </si>
  <si>
    <t>Fakultas Teknik dan Informatika</t>
  </si>
  <si>
    <t>Terakreditasi Baik</t>
  </si>
  <si>
    <t>13545/SK/LAMTEK/Akred/S/XII/2021</t>
  </si>
  <si>
    <t>2021-12-31</t>
  </si>
  <si>
    <t>≤ 3 bulan</t>
  </si>
  <si>
    <t>87%</t>
  </si>
  <si>
    <t>Sarjana Teknik (S.T.)</t>
  </si>
  <si>
    <t>teknikelektro@upgris.ac.id</t>
  </si>
  <si>
    <t>(024) 8316377</t>
  </si>
  <si>
    <t>Jl. Sidodadi Timur No.24, Semarang, Jawa Tengah 50232</t>
  </si>
  <si>
    <t>Menjadi Program Studi Teknik Elektro yang unggul, berkarakter, dan berdaya saing nasional dalam bidang rekayasa ketenagalistrikan dan otomasi industri pada tahun 2030.</t>
  </si>
  <si>
    <t>['Menyelenggarakan pendidikan teknik elektro yang bermutu, relevan dengan kebutuhan industri, dan berwawasan global.', 'Melaksanakan penelitian terapan di bidang ketenagalistrikan, otomasi, dan elektronika yang berdampak bagi masyarakat.', 'Melaksanakan pengabdian kepada masyarakat berbasis IPTEK untuk meningkatkan kesejahteraan.', 'Menjalin kerjasama strategis dengan dunia usaha, industri, pemerintah, dan institusi pendidikan dalam dan luar negeri.', 'Mengembangkan sumber daya manusia yang berkarakter, profesional, dan berintegritas tinggi.']</t>
  </si>
  <si>
    <t>['Menghasilkan lulusan Sarjana Teknik Elektro yang kompeten, beretika, dan siap kerja.', 'Menghasilkan karya penelitian terapan yang dipublikasikan di jurnal nasional dan internasional.', 'Mewujudkan program pengabdian masyarakat yang berkelanjutan.', 'Membangun jaringan kerjasama industri yang mendukung penempatan lulusan.']</t>
  </si>
  <si>
    <t>Program Studi Teknik Elektro UPGRIS berkomitmen untuk menyelenggarakan pendidikan tinggi yang bermutu, akuntabel, dan bertanggung jawab sesuai dengan Standar Nasional Pendidikan Tinggi (SN-Dikti) dan kebijakan LAMTEK. Setiap kegiatan akademik, penelitian, dan pengabdian dilaksanakan berlandaskan nilai-nilai integritas, inovasi, dan kolaborasi.</t>
  </si>
  <si>
    <t>url</t>
  </si>
  <si>
    <t>keterangan</t>
  </si>
  <si>
    <t>Design of Water Pump Station Control in Polder System using IoT and Hybrid Fuzzy Neural Network</t>
  </si>
  <si>
    <t>Jurnal Internasional</t>
  </si>
  <si>
    <t>A Comprehensive Analysis of Mask Detection Using Convolutional Neural Networks (CNN) and Single Shot Multibox Detector (SSD) Approach</t>
  </si>
  <si>
    <t>Prosiding Internasional</t>
  </si>
  <si>
    <t>Review Paper on Bluetooth Based Home Automation Using Android Phone</t>
  </si>
  <si>
    <t>The Potential of Mechanic Vibration for Generating Electric Energy</t>
  </si>
  <si>
    <t>Power Regulation on PV and Grid With Monitoring Load Power in Residential</t>
  </si>
  <si>
    <t>Multi-Inverter Coordinated Control on AC Microgrid for Increased Load Power</t>
  </si>
  <si>
    <t>Power management on DC microgrid with new DC coupling based on fuzzy logic</t>
  </si>
  <si>
    <t>Solar power and multi-battery for new configuration DC microgrid using centralized control</t>
  </si>
  <si>
    <t>Real-Time Microgrid Centralized Control For Consuming Water Pump</t>
  </si>
  <si>
    <t>Coordinated Control of AC Microgrid for Increase Load Power Using Multi-Inverter</t>
  </si>
  <si>
    <t>Improvement the Capacity of Electrical Energy in Residential Using PV With On-Grid System</t>
  </si>
  <si>
    <t>Effectiveness of implementing deep learning approach using PBL with PhET simulation on students’ interest and collaboration</t>
  </si>
  <si>
    <t>Study on Local-Structure Symmetrization of K2XF6 Crystals Doped with Mn4+ Ions by First-Principles Calculations</t>
  </si>
  <si>
    <t>Comprehensive observations on pendulum oscillation using stereo vision</t>
  </si>
  <si>
    <t>Development of laboratory devices for real-time measurement of object 3D position using stereo cameras</t>
  </si>
  <si>
    <t>System and method for stereoscopic image acquisition</t>
  </si>
  <si>
    <t>3D Velocity Measurement of Translational Motion using a Stereo Camera</t>
  </si>
  <si>
    <t>Thermoacoustic design using stem of goose down stack</t>
  </si>
  <si>
    <t>Thickness optimization of a double-layered microwave absorber combining magnetic and dielectric particles</t>
  </si>
  <si>
    <t>The Effectiveness of the Dilemma-STEAM Learning Model Based on Motion Graphic Videos in the Subject of Parabolic Motion</t>
  </si>
  <si>
    <t>Development of educational videos on work and energy topics to support schoology based e-learning</t>
  </si>
  <si>
    <t>Revitalizing circular motion topic learning through android application based on transformative learning</t>
  </si>
  <si>
    <t>Preparation and Thickness Optimization of Graphenic-Based Carbon Material as a Microwave Absorber</t>
  </si>
  <si>
    <t>Chemical exfoliation and microwave absorption of reduced graphene oxide synthesized from old coconut shells</t>
  </si>
  <si>
    <t>Effect of prime mover regenerator radius on the performance and characteristic of acoustic field of thermoacoustic refrigerator driven by prime mover</t>
  </si>
  <si>
    <t>Construction and testing of small-scale thermoacoustic electricity generator with different heating power</t>
  </si>
  <si>
    <t>Numerical Study on the Effect of Stack Radii on the Low Onset Heating Temperature and Efficiency of 4-Stage Thermoacoustic Engine</t>
  </si>
  <si>
    <t>The effect of regenerator’s radii on low heating temperature of 4-stage thermoacoustic engine utilizing solar and waste heat</t>
  </si>
  <si>
    <t>Study on the optimal stack diameter on the efficiency of thermoacoustic engine</t>
  </si>
  <si>
    <t>Performance of Thermoacoustic Cooler Driven by Thermoacoustic Engine with Different Flow Channel Radii</t>
  </si>
  <si>
    <t>penerbit</t>
  </si>
  <si>
    <t>sinta_score</t>
  </si>
  <si>
    <t>scopus_index</t>
  </si>
  <si>
    <t>authors</t>
  </si>
  <si>
    <t>link_total_kutipan</t>
  </si>
  <si>
    <t>MDPI (Materials)</t>
  </si>
  <si>
    <t>Sinta 1 (Internasional Bereputasi)</t>
  </si>
  <si>
    <t>Mega Novita, Sigit Ristanto, Ernawati Saptaningrum, Slamet Supriyadi, Dian Marlina, Ferdy Semuel Rondonuwu, Alok Singh Chauhan, Benjamin Walker, Kazuyoshi Ogasawara, Michal Piasecki, Mikhail G. Brik</t>
  </si>
  <si>
    <t>https://scholar.google.com/scholar?oi=bibs&amp;hl=id&amp;cites=12242095315488107575</t>
  </si>
  <si>
    <t>tag</t>
  </si>
  <si>
    <t>tagColor</t>
  </si>
  <si>
    <t>title</t>
  </si>
  <si>
    <t>subtitle</t>
  </si>
  <si>
    <t>meta</t>
  </si>
  <si>
    <t>overlayColor</t>
  </si>
  <si>
    <t>ctaPrimary</t>
  </si>
  <si>
    <t>ctaSecondary</t>
  </si>
  <si>
    <t>Program Unggulan</t>
  </si>
  <si>
    <t>#f59e0b</t>
  </si>
  <si>
    <t>Teknik Elektro
Universitas PGRI Semarang</t>
  </si>
  <si>
    <t>Terakreditasi Baik oleh LAMTEK — melahirkan insinyur elektro yang siap menghadapi tantangan industri 4.0</t>
  </si>
  <si>
    <t>203 Mahasiswa Aktif · IPK Rata-rata 3.32</t>
  </si>
  <si>
    <t>https://images.unsplash.com/photo-1518770660439-4636190af475?w=1200&amp;q=75</t>
  </si>
  <si>
    <t>rgba(10,24,60,0.82)</t>
  </si>
  <si>
    <t>{'label': 'Kenali Prodi', 'path': '/profil'}</t>
  </si>
  <si>
    <t>{'label': 'Daftar PMB', 'url': 'https://pmb.upgris.ac.id'}</t>
  </si>
  <si>
    <t>Capstone Design</t>
  </si>
  <si>
    <t>Inovasi Nyata
dari Mahasiswa Kami</t>
  </si>
  <si>
    <t>Proyek Capstone Design — solusi rekayasa terapan yang menjawab permasalahan dunia usaha dan industri</t>
  </si>
  <si>
    <t>Bidang: IoT · Energi · Kontrol · Elektronika</t>
  </si>
  <si>
    <t>https://images.unsplash.com/photo-1581092921461-7031e4bfb83e?w=1200&amp;q=75</t>
  </si>
  <si>
    <t>rgba(10,30,53,0.82)</t>
  </si>
  <si>
    <t>{'label': 'Lihat Proyek', 'path': '/capstone'}</t>
  </si>
  <si>
    <t>{'label': 'Pelajari', 'path': '/capstone'}</t>
  </si>
  <si>
    <t>Penelitian &amp; PkM</t>
  </si>
  <si>
    <t>#4ade80</t>
  </si>
  <si>
    <t>Riset Berdampak
untuk Masyarakat</t>
  </si>
  <si>
    <t>Dosen dan mahasiswa aktif meneliti dan mengabdi — didanai Dikti, mitra industri, dan lembaga internasional</t>
  </si>
  <si>
    <t>18+ Publikasi · 20+ Mitra · 4 Prestasi Nasional</t>
  </si>
  <si>
    <t>https://images.unsplash.com/photo-1562564055-71e051d33c19?w=1200&amp;q=75</t>
  </si>
  <si>
    <t>rgba(15,42,30,0.85)</t>
  </si>
  <si>
    <t>{'label': 'Lihat Penelitian', 'path': '/penelitian'}</t>
  </si>
  <si>
    <t>{'label': 'Mitra Kerjasama', 'path': '/penelitian'}</t>
  </si>
  <si>
    <t>Dosen Kompeten</t>
  </si>
  <si>
    <t>#a78bfa</t>
  </si>
  <si>
    <t>Dibimbing oleh
Pakar Bersertifikasi</t>
  </si>
  <si>
    <t>8 dosen tetap berpengalaman dengan sertifikasi PII &amp; BNSP, aktif di SINTA dan Google Scholar</t>
  </si>
  <si>
    <t>8 Dosen Tetap · Sertifikasi Profesi PII &amp; BNSP</t>
  </si>
  <si>
    <t>https://images.unsplash.com/photo-1522202176988-66273c2fd55f?w=1200&amp;q=75</t>
  </si>
  <si>
    <t>rgba(26,10,46,0.85)</t>
  </si>
  <si>
    <t>{'label': 'Lihat Profil Dosen', 'path': '/dosen'}</t>
  </si>
  <si>
    <t>{'label': 'Bidang Keahlian', 'path': '/dosen'}</t>
  </si>
  <si>
    <t>nomor</t>
  </si>
  <si>
    <t>fileUrl</t>
  </si>
  <si>
    <t>Kebijakan Mutu Program Studi Teknik Elektro</t>
  </si>
  <si>
    <t>KM-TE-001/2024</t>
  </si>
  <si>
    <t>Kebijakan Mutu</t>
  </si>
  <si>
    <t>https://drive.google.com/file/d/dummy_spmi_1</t>
  </si>
  <si>
    <t>Standar Kompetensi Lulusan (SKL)</t>
  </si>
  <si>
    <t>SM-TE-001/2024</t>
  </si>
  <si>
    <t>Standar Mutu</t>
  </si>
  <si>
    <t>https://drive.google.com/file/d/dummy_spmi_2</t>
  </si>
  <si>
    <t>Standar Isi Pembelajaran</t>
  </si>
  <si>
    <t>SM-TE-002/2024</t>
  </si>
  <si>
    <t>https://drive.google.com/file/d/dummy_spmi_3</t>
  </si>
  <si>
    <t>Standar Proses Pembelajaran</t>
  </si>
  <si>
    <t>SM-TE-003/2024</t>
  </si>
  <si>
    <t>https://drive.google.com/file/d/dummy_spmi_4</t>
  </si>
  <si>
    <t>SOP Penyusunan Rencana Pembelajaran Semester (RPS)</t>
  </si>
  <si>
    <t>SOP-TE-001/2024</t>
  </si>
  <si>
    <t>SOP</t>
  </si>
  <si>
    <t>https://drive.google.com/file/d/dummy_spmi_5</t>
  </si>
  <si>
    <t>SOP Penyelenggaraan Ujian Akhir Semester</t>
  </si>
  <si>
    <t>SOP-TE-002/2024</t>
  </si>
  <si>
    <t>https://drive.google.com/file/d/dummy_spmi_6</t>
  </si>
  <si>
    <t>SOP Pembimbingan Skripsi &amp; Capstone Design</t>
  </si>
  <si>
    <t>SOP-TE-003/2024</t>
  </si>
  <si>
    <t>https://drive.google.com/file/d/dummy_spmi_7</t>
  </si>
  <si>
    <t>Formulir Pengajuan Judul Skripsi</t>
  </si>
  <si>
    <t>FM-TE-001</t>
  </si>
  <si>
    <t>Formulir</t>
  </si>
  <si>
    <t>https://drive.google.com/file/d/dummy_spmi_8</t>
  </si>
  <si>
    <t>Formulir Permohonan Kerja Praktek</t>
  </si>
  <si>
    <t>FM-TE-002</t>
  </si>
  <si>
    <t>https://drive.google.com/file/d/dummy_spmi_9</t>
  </si>
  <si>
    <t>Laporan Audit Mutu Internal 2024</t>
  </si>
  <si>
    <t>AMI-TE-2024</t>
  </si>
  <si>
    <t>Laporan AMI</t>
  </si>
  <si>
    <t>https://drive.google.com/file/d/dummy_spmi_10</t>
  </si>
  <si>
    <t>Coordinated control of battery energy storage system based on fuzzy logic for microgrid with modified AC coupling configuration</t>
  </si>
  <si>
    <t>Penyuluhan Identifikasi Potensi Energi Matahari Sebagai Sumber Listrik di SD Negeri Tambakharjo Semarang</t>
  </si>
  <si>
    <t>Kinerja Micro Grid Menggunakan Photovoltaic-Baterai dengan Sistem Off-Grid</t>
  </si>
  <si>
    <t>Strategi Peningkatan Kinerja DC Microgriddengan Konfigurasi DC/ACCoupling</t>
  </si>
  <si>
    <t>Peningkatan Kinerja MPPT Menggunakan Kontrol PWM Fuzzy dengan Tuning PID</t>
  </si>
  <si>
    <t>Sosialisasi Penerapan Panel Surya Sebagai Sumber Listrik di SD Labschool Unnes Semarang</t>
  </si>
  <si>
    <t>A comprehensive analysis of mask detection using convolutional neural networks (CNN) and single shot multibox detector (SSD) approach</t>
  </si>
  <si>
    <t>Hybrid Water Feedback Solutions Using Internet of Thing (IoT) Enabled Water Pumps Powered by Solar Panels</t>
  </si>
  <si>
    <t>Enhancement DC Microgrid Power Stability With a Centralized</t>
  </si>
  <si>
    <t>Pelatihan Media Pembelajaran Canva Bagi Guru SD Pendidikan Agama Kristen di Kota Semarang Provinsi Jawa Tengah</t>
  </si>
  <si>
    <t>Penggunaan APD terhadap Kecelakaan Kerja pada Pekerjan Bertegangan Listrik di PT PLN Persero Pemalang</t>
  </si>
  <si>
    <t>Socialization and Training of Solar Power Generation (PLTS) at SD Negeri Tambakharjo Semarang</t>
  </si>
  <si>
    <t>Pemanfaatan Biogas dari Limbah Ternak Sapi Sebagai Solusi Energi Terbarukan dan Peningkatan Kesejahteraan Masyarakat Desa Kuripan Kecamatan Karangawen Demak</t>
  </si>
  <si>
    <t>Perancangan Perangkat Keras Pengering Pakaian</t>
  </si>
  <si>
    <t>Real-time microgrid for submersible pump energy consumption based on fuzzy logic controller</t>
  </si>
  <si>
    <t>Pelatihan Pembangkit Listrik Tenaga Surya (PLTS) di SD Negeri Tambakharjo Semarang</t>
  </si>
  <si>
    <t>Peningkatan daya pv terhubung ke grid dengan koordinasi kontrol mppt</t>
  </si>
  <si>
    <t>Planning Of Solar Power Plant With On-Grid System At The Fourth Building University Of PGRI Semarang</t>
  </si>
  <si>
    <t>Design Of Electricity Energy Sources In University Of PGRI Semarang Using Off-Grid Solar Panel Systems</t>
  </si>
  <si>
    <t>IDENTIFIKASI POTENSI ENERGI MATAHARI SEBAGAI SUMBER LISTRIK BAGI WARGA CANGKIRAN SEMARANG DENGAN PANEL SURYA</t>
  </si>
  <si>
    <t>Power Flow Regulation of PLTS and Genset in Residential Using PLC Zelio</t>
  </si>
  <si>
    <t>Studi Analisa Penggunaan Baterai Li-Ion Dan Li-Po Pada Sistem Iot Hidroponik</t>
  </si>
  <si>
    <t>Increased Load Power With Centralized Control of Multiple Microgrid Resources</t>
  </si>
  <si>
    <t>Perencanaan Sistem Fire Alarm dan Hydran Pemadaman Kebakaran Pada Toserba Yogya Pekalongan</t>
  </si>
  <si>
    <t>Optimalisasi Sistem Kelistrikan melalui Penggunaan Capacitor Bank</t>
  </si>
  <si>
    <t>Pengenalan Photovoltaik (PV) Dalam Sistem PLTS di SD Negeri Kalibanteng Kulon 01 Semarang</t>
  </si>
  <si>
    <t>Simulation Coordination Control of PVAnd Battery On Microgrid With PI Controller</t>
  </si>
  <si>
    <t>PLTS MODULE DESIGN USING BATTERY MANAGEMENT SYSTEM ON LI-ION BATTERY</t>
  </si>
  <si>
    <t>Monitoring Energi Panel Surya Berbasis Iot Untuk Kebutuhan Energi Listrik Pompa Air</t>
  </si>
  <si>
    <t>Sosialisasi Penerapan Panel Surya di SD Negeri Tambakharjo Semarang Dalam Mendukung Energi Hijau</t>
  </si>
  <si>
    <t>DESAIN PEMBANGKIT LISTRIK TENAGA SURYA (PLTS) DENGAN SISTEM HIBRID UNTUK POMPA SAWAH</t>
  </si>
  <si>
    <t>MANAJEMEN ALIRAN ENERGI MENGGUNAKAN ALGORITMA GENETIK PADA dc/ac MIKROGRID</t>
  </si>
  <si>
    <t>Perancangan Pembangkit Listrik Tenaga Surya Untuk Penerangan di Mushola RT01/RW01 Kelurahan Bandung Kecamatan Tegal Selatan Kota Tegal</t>
  </si>
  <si>
    <t>KOMPARASI NILAI IMPEDANSI TERHADAP PENGARUH FUNGSI PADA PRODUK ANTENNA KEYLESS 4L45W</t>
  </si>
  <si>
    <t>PID Controller-Based Simulations for Controlling Inverter Voltage to Enhance Power in a Microgrid</t>
  </si>
  <si>
    <t>Improvement of AC Bus Voltage Stability with Current Control Inverter</t>
  </si>
  <si>
    <t>Increasing Awareness of Cow Manure Processing Technology through Virtual Reality-Based Educational Media Training in Kuripan Village, Demak.</t>
  </si>
  <si>
    <t>Increased DC Bus Voltage Stability with Multiple Microgrid Cluster Strategies.</t>
  </si>
  <si>
    <t>The Utilization of Cattle Manure Biogas as a Renewable Energy Solution and a Means to Improve Community Welfare in Kuripan Village, Karangawen District, Demak</t>
  </si>
  <si>
    <t>STUDI PERBANDINGAN SENSOR SHT40 DAN CHT8305 DALAM PENGUKURAN SUHU DAN KELEMBAPAN BERBASIS ESP8266</t>
  </si>
  <si>
    <t>Penerapan Teknik Diagnostik Kerusakan Pada Mesin Las dan Pemotong Plasma Di PT Laksana Bus Manufaktur</t>
  </si>
  <si>
    <t>Pengenalan PLTS Sebagai Pembangkit Listrik Energi Terbarukan Bagi Siswa dan Guru SD Negeri Kalibanteng Kulon 01 Semarang</t>
  </si>
  <si>
    <t>PERANCANGAN ALAT PENYIRAMAN TANAMAN OTOMATIS BERBASIS PID DENGAN MONITORING PID</t>
  </si>
  <si>
    <t>Pelatihan Majalah Dinding Digital Berbasis Web bagi Komunitas Seni Hysteria Semarang</t>
  </si>
  <si>
    <t>Analisa Perbandingan Performansi Kecepatan Downlink Dan Uplink Pada Jaringan 4g Lte Antara Provider Jaringan Indosat Dan Smartfren Di Kawasan Tlogosari Semarang</t>
  </si>
  <si>
    <t>PERANCANGAN SISTEM INSTALASI LISTRIK PRESIDENT ROOM RUMAH SAKIT MITRA BANGSA PATI</t>
  </si>
  <si>
    <t>DESAIN PEMBANGKIT LISTRIK TENAGA BAYU (PLTB) DENGAN TURBIN ANGIN VERTIKAL</t>
  </si>
  <si>
    <t>RANCANG BANGUN PANEL MDP GEDUNG PUNAI</t>
  </si>
  <si>
    <t>Inspeksi Ketenagalistrikan Pada Pembangkit Listrik Tenaga Diesel (Pltd) Kapasitas 250 Kva Di Nasmoco Kaligawe</t>
  </si>
  <si>
    <t>ANALISIS DAN PEMELIHARAAN ALAT UKUR LISTRIK</t>
  </si>
  <si>
    <t>Peran dan Manfaat Capacitor Bank dalam Meningkatkan Efisiensi Sistem Kelistrikan</t>
  </si>
  <si>
    <t>A Comprehensive Analysis of Mask Detection using Convolutional Neural Networks (CNN) and Single Shot Multibox Detector (SSD) Approach</t>
  </si>
  <si>
    <t>DC Microgrid Performance Improvement Strategy with DC/AC Coupling Configuration</t>
  </si>
  <si>
    <t>Effect of fuzzy logic controller on voltage stability of parallel boost converter configuration</t>
  </si>
  <si>
    <t>Bukti Korespondensi Scientific Journal of Informatics</t>
  </si>
  <si>
    <t>Hybrid Water Feedback Solutions Using Internet of Thing (Iot) Enabled Water Pumps Powered by Solar Panels</t>
  </si>
  <si>
    <t>Analisa Tahanan Isolasi Transformator Daya Unit 2 (30 mva) Berdasarkan Uji Indeks Polarisasi Di PT. PLN Gardu Induk 150 KV Cepu</t>
  </si>
  <si>
    <t>Simulasi Kapasitor Bank Untuk Efisiensi Daya Listrik Pada PT. Krisna Brass Indonesia</t>
  </si>
  <si>
    <t>MONITORING ENERGI PANEL SURYA BERBASIS IOT UNTUK KEBUTUHAN ENERGI LISTRIK POMPA AIR</t>
  </si>
  <si>
    <t>BUKU PANDUAN PENGGUNAAN POMPA AIR TENAGA SURYA SISTEM HYBRID</t>
  </si>
  <si>
    <t>Bahan Ajar Sistem Mikrogrid</t>
  </si>
  <si>
    <t>PREDIKSI RADIASI SINAR MATAHARI DENGAN JARINGAN SYARAF TIRUAN (JST) MENGGUNAKAN METODE BACKPROPAGATION</t>
  </si>
  <si>
    <t>IMPLEMENTASI PENGENDALIAN SUHU PADA SISTEM PASTEURISASI SUSU DENGAN METODE PID BERBASIS TEMPERATURE CONTROLLER</t>
  </si>
  <si>
    <t>RANCANG BUCK BOOST CONVERTER UNTUK MENGATUR ENERGI PADA BATERAI</t>
  </si>
  <si>
    <t>SIMULASI CONTROL MPPT PADA BOOST CONVERTER DENGAN PI</t>
  </si>
  <si>
    <t>SISTEM PENYIMPANAN ENERGI MENGGUNAKAN SUPERKAPASITOR DENGAN BUCK CONVERTER DAN BOOST CONVERTER</t>
  </si>
  <si>
    <t>Desain Inverter 12VDC To 220VAC Dengan Frekuensi 50Hz</t>
  </si>
  <si>
    <t>Mikro Grid Dengan Strategi Koordinasi Kontrol</t>
  </si>
  <si>
    <t>PENINGKATAN KINERJA MPPT PADA DC HOUSE DALAM SISTEM DC MIKRO GRID</t>
  </si>
  <si>
    <t>Studi Eksplanatori dan Konfirmatori Tentang Kompetensi Tenaga Pendidik Berdasarkan Injil Yohanes di Kalangan Dosen Universitas PGRI Semarang (Explanatory And Confirmatory Study …</t>
  </si>
  <si>
    <t>Project-based learning via traditional game in physics learning: Its impact on critical thinking, creative thinking, and collaborative skills</t>
  </si>
  <si>
    <t>Structural study on graphene-based particles prepared from old coconut shell by acid–assisted mechanical exfoliation</t>
  </si>
  <si>
    <t>Profil penguasaan literasi sains berdasarkan kerangka PISA (Programme for International Student Assessment) pada siswa SMP Negeri se-Kota Semarang tahun 2022</t>
  </si>
  <si>
    <t>Analisis validasi e-LKPD berbasis PBL pada topik pengukuran besaran fisis kelas X SLTA</t>
  </si>
  <si>
    <t>Digital physics module for 21st century education on new and Renewable energy based on the Dilemma-STEAM learning model</t>
  </si>
  <si>
    <t>Kajian literatur: Penggunaan simulasi phet dalam pembelajaran fisika</t>
  </si>
  <si>
    <t>Pendampingan Pengembangan Keprofesian Berkelanjutan Bagi Guru IPA SMP Kota Semarang</t>
  </si>
  <si>
    <t>Pengukuran indeks ultraviolet matahari dan atenuasinya oleh beberapa bahan untuk rekomendasi waktu aman berjemur</t>
  </si>
  <si>
    <t>Penguatan Keterampilan Abad 21 Melalui Perancangan Alat Peraga Pembelajaran Fisika Berorientasi Merancang Kegiatan Laboratorium-Keterampilan Generik Sains (MKL-KGS):-</t>
  </si>
  <si>
    <t>Profile of Students’ Conceptual Understanding of Physics in Senior High School</t>
  </si>
  <si>
    <t>Microstructural and Carbon Phase Analysis of Water Hyacinth Derived Biochar under Particle Size Variation</t>
  </si>
  <si>
    <t>Reasons for Students Interest in Learning Physics Subjects in Senior High School</t>
  </si>
  <si>
    <t>Practicum Ticker Timer with Inquiry Approach to Improve Student Learning Outcomes</t>
  </si>
  <si>
    <t>Pembelajaran Kinetik Gas dengan Pendekatan Lifeskill untuk Mengajarkan Keterampilan Komunikasi</t>
  </si>
  <si>
    <t>Innovation of Spectroscope Teaching Aid in Physics Learning: STEM Integration for Enhancing Conceptual Understanding of Light</t>
  </si>
  <si>
    <t>Thickness optimization of a triple-layered microwave absorber combining magnetic and dielectric particles</t>
  </si>
  <si>
    <t>Computational Analysis of Electrical Impedance Spectroscopy for Margin Tissue Detection in Laparoscopic Liver Resection</t>
  </si>
  <si>
    <t>The effect of waste tire oil and pertamina dex oil blends on compression ignition engine performance</t>
  </si>
  <si>
    <t>Pendekatan Neural Network pada Gerak Unstretch Bungee Jumping Menggunakan Metode Euler</t>
  </si>
  <si>
    <t>PENGEMBANGAN MEDIA PEMBELAJARAN MAJALAH FISIKA (E–PHYSICS MAGAZINE) BERBASIS APLIKASI ANDROID</t>
  </si>
  <si>
    <t>Pembelajaran Digital Blended &amp; Hybrid Learning di Smp N 1 Karangawen, Demak, Jawa Tengah</t>
  </si>
  <si>
    <t>Kreativitas Anak Usia Dini dan SD Pasca Pendemi Covid 19 di Lingkungan RW 1 Kedungmundu Semarang</t>
  </si>
  <si>
    <t>C75. Premature Coronary Artery Disease in Young Male Patient with Strong Family History</t>
  </si>
  <si>
    <t>-PENGUATAN PEMBUATAN MEDIA PEMBELAJARAN INTERAKTIF BERBASIS IT MGMP IPA BLORA</t>
  </si>
  <si>
    <t>Transformasi Digital Eksperimen Pesawat Atwood melalui Integrasi Sensor dan Otomatisasi Data Berbasis Python</t>
  </si>
  <si>
    <t>PKM Strengthening The Compilation Of Scientific WritingsMGMP Physics Boyolali Regency</t>
  </si>
  <si>
    <t>ANALISIS PERAN SISTEM PEMBUMIAN TERHADAP KESELAMATAN DAN KEANDALAN OPERASI PEMBANGKIT LISTRIK TENAGA DIESEL (PLTD)</t>
  </si>
  <si>
    <t>Integrasi Teknologi Sensor dalam Pesawat Atwood untuk Meningkatkan Akurasi dan Efisiensi Pembelajaran Fisika: Systematic Literature Review</t>
  </si>
  <si>
    <t>Implementation of Video Tracker Application for Measurement of Elastic Pendulum Oscillatory Motion</t>
  </si>
  <si>
    <t>Analisis Kebutuhan Pengembangan Model Pembelajaran untuk Penguasaan Literasi Sains Siswa SMP Negeri Di Kota Semarang</t>
  </si>
  <si>
    <t>Profile of Students' Mastery of Physics Concepts in Senior High School/Madrasah Aliyah Semarang City</t>
  </si>
  <si>
    <t>Efektivitas Pembelajaran Fisika Berbantu Google Classroom sebagai Learning Management System (LMS) untuk Meningkatkan Keterampilan Berpikir Kritis Siswa Kelas XI SMA Negeri 1 …</t>
  </si>
  <si>
    <t>Efektivitas Penggunaan Elektroda Tembaga, Seng, Alumunium, dan Kaca Indium Timah Oksida (ITO) Pada Performa Dye Sensitized Solar Cells (DSSC) Pewarna Kulit Buah Naga Merah</t>
  </si>
  <si>
    <t>ANALISA UJI BEDA KADAR GULA DARAH&amp;TEKANAN DARAH SERTA PROFIL PENGOBATANNYA PADA PASIEN KATARAK&amp;NON KATARAK DI RSUD CIAWI TAHUN 2018.</t>
  </si>
  <si>
    <t>Optimasi Ketebalan Lapisan Jamak Bahan Dielektrik Dan Magnetik Sebagai Penyerap Gelombang Mikro Pada Pita X</t>
  </si>
  <si>
    <t>Pendampingan Pembenahan Instalasi Sistem CCTV untuk Masjid Baitul Rohmah Pudak Payung Semarang</t>
  </si>
  <si>
    <t>Feasibility Study of solar power generation system for public street lighting</t>
  </si>
  <si>
    <t>Pendampingan Digitalisasi Pemasaran Produk UMKM di Desa Banjarejo Kecamatan Boja Kabupaten Kendal</t>
  </si>
  <si>
    <t>Sosialisasi dan Pendampingan Pembenahan Instalasi Kelistrikan Panti Asuhan Sultan Fatah Ngaliyan Semarang</t>
  </si>
  <si>
    <t>Implementation internet of things-based catfish aquaculture to measure water quality and minimize pond waste</t>
  </si>
  <si>
    <t>Analisa Kerusakan Dan Perbaikan Ac Split Duct York Model Mac 150T35 Di Pt. Morindo Masindo</t>
  </si>
  <si>
    <t>Applicant Mapping of Predicting Seriousness in Choosing Private University using Self Organizing Map (SOM) Algorithm</t>
  </si>
  <si>
    <t>OPTIMASI MODEL DEEP LEARNING UNTUK RASPBERRY MENGGUNAKAN PRUNING DAN KUANTISASI</t>
  </si>
  <si>
    <t>Sistem Eksitasi Pada Generator Di PT PJB UBJ O&amp;M PLTU REMBANG</t>
  </si>
  <si>
    <t>Teknik Telekomunikasi: Dari Sinyal hingga Jaringan Modern</t>
  </si>
  <si>
    <t>Rancang Bangun Sistem Keanggotaan Berbasis ESP32 dan RFID Terintegrasi Firebase pada Kedai Unalome Coffee</t>
  </si>
  <si>
    <t>Pengabdian PKM Program Perbaikan dan Edukasi Penggunaan Peralatan Audio Bagi Panti Asuhan Fachrudin Semarang</t>
  </si>
  <si>
    <t>RANCANG BANGUN PANEL SUB DISTRIBUTION PANEL (SDP) TIPE FREESTANDING DENGAN SISTEM BUSBAR TERINTEGRASI PADA PROYEK RS SANTA MARIA PEMALANG</t>
  </si>
  <si>
    <t>ANALISIS ENERGI LISTRIK GEDUNG BOTTOM 1 PT. PARKLAND WORLD INDONESIA JEPARA</t>
  </si>
  <si>
    <t>STUDI IMPLEMENTASI STANDAR KESELAMATAN DAN KUALITAS VISUAL PADA PERAKITAN PANEL LISTRIK INDUSTRI TIPE WALL MOUNTING</t>
  </si>
  <si>
    <t>RANCANG BANGUN MESIN PEMBUAT MINUMAN PROBIOTIK DARI LIMBAH SUSU</t>
  </si>
  <si>
    <t>SERTIFIKAT LAIK OPERASI PEMBANGKIT LISTRIK TENAGA DIESEL</t>
  </si>
  <si>
    <t>Turnitin RANCANGAN BANGUN KEBUTUHAN ACESSPOINT DI GEDUNG UTAMA UNIVERSITAS PGRI SEMARANG</t>
  </si>
  <si>
    <t>Korenpondensi Jurnal RANCANGAN BANGUN KEBUTUHAN ACESSPOINT DI GEDUNG UTAMA UNIVERSITAS PGRI SEMARANG</t>
  </si>
  <si>
    <t>RANCANGAN BANGUN KEBUTUHAN ACESSPOINT DI GEDUNG UTAMA UNIVERSITAS PGRI SEMARANG</t>
  </si>
  <si>
    <t>SK_Presensi_Nilai Teknologi-Informasi-1A dan B Gasal 2023-2024</t>
  </si>
  <si>
    <t>Sistem Pemeliharaan Pendingin Pada Generator di PT. PJB UbJ O&amp;M PLTU Rembang</t>
  </si>
  <si>
    <t>Proses Pemasangan Jaringan Wireless Local Area Network</t>
  </si>
  <si>
    <t>IoT Gateway Menggunakan Protokol MQTT pada Perangkat Kendali Berbasis Modbus-RTU</t>
  </si>
  <si>
    <t>Analisis Kinerja Sensor Ultrasonik HC-SR04 dengan Akurasi Tinggi dan Error Rendah</t>
  </si>
  <si>
    <t>Review paper on bluetooth based home automation using android phone</t>
  </si>
  <si>
    <t>Perancangan Sistem Pengaman Ruangan Laboratorium Elektro Upgris Berbasis Rfid Dan Google Sheet</t>
  </si>
  <si>
    <t>Prediksi beban listrik jangka panjang di wilayah jawa tengah menggunakan algoritma jaringan syaraf tiruan backpropagation</t>
  </si>
  <si>
    <t>TOPOLOGI JARINGAN DAN REMOTE ACCESS VPN UNTUK PEMANTAUAN KERJA MOTOR POMPA</t>
  </si>
  <si>
    <t>PEMANFAATAN TERMOKOPEL UNTUK SISTEM PEMANTAUAN SISTEM MOTOR POMPA</t>
  </si>
  <si>
    <t>Pendampingan Pemeriksaan dan Pembenahan Sistem Penerangan Ruangan Kelas di Lingkungan LPQ An-Nur Tanggul Mas Barat Semarang</t>
  </si>
  <si>
    <t>Flood Mitigation in East Coast Semarang City: Hydrological and Hydraulic Analysis for Polder System Optimization</t>
  </si>
  <si>
    <t>Prosiding seminar praktik keinsinyuran V: inovasi teknologi insinyur Indonesia untuk rekayasa berkelanjutan</t>
  </si>
  <si>
    <t>Implementasi dan Analisis Pemasangan PLTS ON-GRID 50 Kw di Mavica Maju Bersama</t>
  </si>
  <si>
    <t>PERANCANGAN DAN IMPLEMENTASI SISTEM KONTROL POMPA AIR DC 12V OTOMATIS DENGAN LOGIKA FUZZY BERBASIS ESP32</t>
  </si>
  <si>
    <t>Implementasi Logika Fuzzy pada Sistem Pengereman Otomatis (Automatic Braking System) Robot Mobil Berdasarkan Jarak Objek</t>
  </si>
  <si>
    <t>Sistem Palang Pintu Parkir Otomatis Dengan Akses Kartu Tanda Mahasiswa Menggunakan RFID-RC522</t>
  </si>
  <si>
    <t>PENDAMPINGAN PEMBENAHAN INSTALASI JARINGAN INTERNET LPQ ANNUR TANGGUL MAS BARAT SEMARANG</t>
  </si>
  <si>
    <t>Pengelolaan Banjir Dengan Sistem Polder Berbasis Teknologi  Informasi Dan IoT</t>
  </si>
  <si>
    <t>Flood Management in the Babon River Watershed, Semarang City.</t>
  </si>
  <si>
    <t>Flood Management in the Babon River Watershed, Semarang City</t>
  </si>
  <si>
    <t>PERBANDINGAN KARAKTERISTIK LINEARITAS ANTARA SENSOR ULTRASONIK HC-SR04 DAN SRF05</t>
  </si>
  <si>
    <t>PENGARUH AUGMENTASI DATA TERHADAP UNJUK KERJA MODEL PENDETEKSI WAJAH MENGGUNAKAN CNN</t>
  </si>
  <si>
    <t>ANALISA EFISIENSI TURBIN FRANCIS DI PLTM KAREKAN PAGENTAN BANJARNEGARA</t>
  </si>
  <si>
    <t>PERANCANGAN DATA LOGGER UNTUK SISTEM PEMANTUAN KERJA MOTOR POMPA</t>
  </si>
  <si>
    <t>PEMANFAATAN SENSOR GETARAN UNTUK SISTEM PEMANTAUAN KERJA MOTOR POMPA</t>
  </si>
  <si>
    <t>The effect of mean pressure on the performance of a single-stage heat-driven thermoacoustic cooler</t>
  </si>
  <si>
    <t>Analisis bahan ajar fisika berdasarkan perspektif education for sustainable development</t>
  </si>
  <si>
    <t>Numerical study on the effect of stack radii on the low onset heating temperature and efficiency of 4-stage thermoacoustic engine</t>
  </si>
  <si>
    <t>Numerical study of the influence of radius stack on the low heating temperature and efficiency of traveling wave thermoacoustic engine</t>
  </si>
  <si>
    <t>Study of stack length on efficiency of thermoacoustic engine</t>
  </si>
  <si>
    <t>Numerical Study on the Effect of Mean Pressure and Loop's Radius to the Onset Temperature and Efficiency of Traveling Wave Termoacustic Engine</t>
  </si>
  <si>
    <t>Chromaticity coordinates of ruby based on first-principles calculation</t>
  </si>
  <si>
    <t>Poly Lactic-co-Glycolic Acid Nanoparticles: Flow Rates and Gauge Sizes Influence the Droplet Surface Tension and Particle Sizing</t>
  </si>
  <si>
    <t>PKM kampung onsin (olahan singkong) menuju desa mandiri ekonomi di desa tamanrejo, kecamatan boja, kabupaten kendal</t>
  </si>
  <si>
    <t>First-Principles calculations of the interconfigurational transition energies of 4fn-4fn-15d of Ln3+ ions in LiYF4 and CaF2</t>
  </si>
  <si>
    <t>Experimental investigation of a standing-wave thermoacoustic electricity generator with different working gases</t>
  </si>
  <si>
    <t>Performance of thermoacoustic cooler driven by thermoacoustic engine with different flow Channel Radii</t>
  </si>
  <si>
    <t>Pengembangan Instrumen Tes Critical Thinking Skill Dan Angket Science Motivation Siswa Materi Pesawat Sederhana</t>
  </si>
  <si>
    <t>Study on the Influence of Engine Stack Length on the Efficiency of A Heat-driven Thermoacoustic Refrigerator</t>
  </si>
  <si>
    <t>Planning of Air Conditioner Cooling Load In The Dean Room Of The Faculty Of Engineering and Information Technology University Of PGRI Semarang</t>
  </si>
  <si>
    <t>Current and Voltage Imbalances at BPTIK Universitas PGRI Semarang</t>
  </si>
  <si>
    <t>Testing aluminium and polytetrafluoroethylene as triboelectric materials for acoustic triboelectric nanogenerators</t>
  </si>
  <si>
    <t>Effect of flow channel radius on the energy conversion of thermoacoustic machine for different ambient temperature</t>
  </si>
  <si>
    <t>Heat-driven thermoacoustic cooling technologies: A comprehensive review and future prospects for hot climate applications</t>
  </si>
  <si>
    <t>Performance Evaluation of Helium-Based Binary Gas Mixtures in Standing-Wave Thermoacoustic Electricity Generator</t>
  </si>
  <si>
    <t>PERENCANAAN INSTALASI PEMASANGAN CCTV GEDUNG MESS GETS HOTEL DENGAN MANAJEMEN IP ADDRESS BERBASIS ZONASI LANTAI</t>
  </si>
  <si>
    <t>Simulation of the effect of regenerator porosity on the performance of zero centrigade thermoacoustic cooler generated by the single-stage thermoacoustic machine for …</t>
  </si>
  <si>
    <t>Distribusi Tekanan Pada Instalasi Pompa Hydralic Ram (Hydram) Dengan Ventury Pada Pipa Isap</t>
  </si>
  <si>
    <t>Pengaruh Tekanan Gelombang terhadap Konversi Energi Termoakustik</t>
  </si>
  <si>
    <t>PENGEMBANGAN KETERAMPILAN PEMASARAN MELALUI FACEBOOK MASYARAKT KUMPULREJO KECAMATAN KALIWUNGU KABUPATEN KENDAL</t>
  </si>
  <si>
    <t>Kajian digitalisasi ikm dan umkm kota surakarta</t>
  </si>
  <si>
    <t>Pelatihan Pengolahan Keripik Singkong Menggunakan Mesin Pengiris Dengan Dua Variasi Pisau Bagi UMKM Desa Morobongo</t>
  </si>
  <si>
    <t>ANALISA PERBANDINGAN EFISIENSI PEMAKAIAN ENERGI LISTRIK ANTARA PLN DAN GENSET DI POLLUX MALL PARAGON SEMARANG</t>
  </si>
  <si>
    <t>Evaluation of commercial Pacific white shrimp Litopenaeus vannamei (Boone, 1931) feeds: growth performance and body carcass analysis</t>
  </si>
  <si>
    <t>Analisa Efisiensi Baterai 110 Volt Di PT. PLN (PERSERO) Gardu Induk 150 Kv Pati</t>
  </si>
  <si>
    <t>Analysis of Probiotic Application, Water Quality, Carrying Capacity and Production of Penaeus vannamei Vaname Shrimp Culture in Ponds</t>
  </si>
  <si>
    <t>Power Losses Caused by Load Imbalance in the Central Building of PGRI Semarang University</t>
  </si>
  <si>
    <t>REKONSTRUKSI REGULASI PERADILAN PIDANA TERHADAP TINDAK PIDANA KORUPSI UNTUK MEWUJUDKAN PENEGAKAN HUKUM YANG BERKEADILAN</t>
  </si>
  <si>
    <t>ANALISA SISTEM PENTANAHAN KAKI MENARA SALURAN UDARA TEGANGAN TINGGI (SUTT) 150 KV PATI-JEKULO</t>
  </si>
  <si>
    <t>Penerapan Media Terarium untuk Meningkatkan Kreativitas, Literasi Keuangan, dan Jiwa Kewirausahaan Siswa dalam Program Projek Penguatan Profil Pelajar Pancasila</t>
  </si>
  <si>
    <t>Sistem Kendali Frekuensi Generator Metode On-Off</t>
  </si>
  <si>
    <t>SISTEM MONITORING CUACA BERBASIS IOT MENGGUNAKAN ESP32 DAN WHATSAPP UNTUK EFEKTIVITAS PENJEMURAN KERUPUK</t>
  </si>
  <si>
    <t>PERENCANAAN PLTS ON-GRID 50 KWP DI MAVICA MAJU BERSAMA</t>
  </si>
  <si>
    <t>Analisis Respon Pembacaan Sensor Beban (Load Cell) dengan Menggunakan Autonics TK4S</t>
  </si>
  <si>
    <t>Penerapan Algoritma Fuzzy Mamdani Terhadap Penentuan Modulus Young Kain Spandex</t>
  </si>
  <si>
    <t>IMPLEMENTASI MANAJEMEN SUMBER DAYA TENAGA KEPENDIDIKAN DALAM MENINGKATKAN KUALITAS LAYANAN</t>
  </si>
  <si>
    <t>IMPLEMENTASI SISTEM PENGUKURAN BERAT BENDA BERBASIS LOADCELL DENGAN TATAP MUKA CN6000, TK4S, DAN HMI</t>
  </si>
  <si>
    <t>PERANCANGAN APLIKASI KASIR BERBASIS ANDROID PADA TOKO SUKSES MAJU JAYA</t>
  </si>
  <si>
    <t>ANALISIS PERBANDINGAN DESAIN PEMBANGKIT TEGANGAN SYSTEM DC TO DC CONVERTER DAN KONVENSIONAL: Muhammad Amir Maruf, Muh Amirudin, Margono</t>
  </si>
  <si>
    <t>PENGARUH IMPLEMENTASI ASESMEN PENDIDIKAN KARAKTER TERHADAP HASIL BELAJAR IPA PADA KONSEP STRUKTUR DAN FUNGSI SISTEM PERNAFASAN PADA MANUSIA SISWA KELAS VIII DI SMP NEGERI 1 …</t>
  </si>
  <si>
    <t>Analisis Pengaruh Pemasangan Ground Yang Dikopel Dengan Netral Pada Pengawatan Instalasi Milik Langganan (Iml) Terhadap Pengukuran Daya Pada Kwh Meter Elektronik 1 Fasa …</t>
  </si>
  <si>
    <t>Profil kemampuan berpikir komputasional (computational thinking) siswa SMP negeri se-kota semarang tahun 2022</t>
  </si>
  <si>
    <t>Literatur Review: Implementasi Media Pembelajaran Energi Alternatif Berbasis Kincir Angin Bertenaga Surya dengan Pendekatan STEM</t>
  </si>
  <si>
    <t>Pengembangan e-lkpd berbasis problem based learning untuk meningkatkan kemampuan pengambilan keputusan peserta didik</t>
  </si>
  <si>
    <t>Pendampingan Pembuatan Media Pembelajaran Virtual bagi Guru IPA SMP se-Kabupaten Semarang</t>
  </si>
  <si>
    <t>Pengembangan bahan ajar fisika berbasis stem (science, technology, engineering, and mathematics) untuk sma kelas x semester ganjil</t>
  </si>
  <si>
    <t>Analisis Korelasi Kesadaran Metakognisi Dengan Hasil Belajar Siswa SMA</t>
  </si>
  <si>
    <t>Analisis keterampilan pengambilan keputusan pada pemecahan masalah fisika peserta didik kelas X SMA N 1 Mranggen</t>
  </si>
  <si>
    <t>Pelatihan Pembuatan Media Pembelajaran Terbarukan Bagi Guru-Guru SMAN 1 Singorojo Kendal</t>
  </si>
  <si>
    <t>Kajian literatur: Model pembelajaran problem based learning pada materi fisika terhadap hasil belajar siswa</t>
  </si>
  <si>
    <t>Improving the Attitudes and Creative Thinking Skills of Senior High School Students Using an ESD-Enhanced STEM Approach</t>
  </si>
  <si>
    <t>Pengaruh Penggunaan Cat Reflektif Terhadap Resistensi Panas Pada Atap Genteng sebagai Upaya Mendukung Green Building</t>
  </si>
  <si>
    <t>Technology-Based Parabolic Motion in Physics Education: A Systematic Literature Review</t>
  </si>
  <si>
    <t>Enhancing Students’ Climate Change Literacy through Climate-Integrated Physics Learning via Citizen Science</t>
  </si>
  <si>
    <t>Need assessment pengembangan model pembelajaran yang bertujuan untuk meningkatkan kemampuan berpikir komputasional siswa</t>
  </si>
  <si>
    <t>Analisis Gerak Pesawat Atwood Menggunakan Sensor IR-LED Dan Pengolahan Citra</t>
  </si>
  <si>
    <t>Diseminasi Teknologi Mesin Pengupas Kulit Ari Kacang Hijau Sistem Roller Terbarukan Di Desa Karangpaing Kecamatan Penawangan Kabupaten Grobogan</t>
  </si>
  <si>
    <t>Problem Based Learning and Deep Learning Approach Effects on Student Learning Outcomes</t>
  </si>
  <si>
    <t>Pemanfaatan Teknologi Digital dalam Pembelajaran Siswa SMP di Kota Semarang</t>
  </si>
  <si>
    <t>Kesadaran Metakognisi Siswa Pada Pembelajaran Fisika Berbasis E-Learning melalui Edmodo di SMA Negeri 1 Randudongkal</t>
  </si>
  <si>
    <t>A Kusmantoro</t>
  </si>
  <si>
    <t>A Kusmantoro, I Farikhah</t>
  </si>
  <si>
    <t>A Kusmantoro, A Priyadi, VLB Putri, MH Purnomo</t>
  </si>
  <si>
    <t>A Kusmantoro, I Farikhan</t>
  </si>
  <si>
    <t>A Kusmantoro, M Margono</t>
  </si>
  <si>
    <t>A Kusmantoro, N Rustanti</t>
  </si>
  <si>
    <t>BK Mukti, M Novita, M Amirudin, SK Singh, I Harjanto, P Bhardwaj, ...</t>
  </si>
  <si>
    <t>A Buchori, A Kusmantoro, A Burhanuddin, T Hiyama</t>
  </si>
  <si>
    <t>LJ Zanuba, A Kusmantoro</t>
  </si>
  <si>
    <t>A Buchori, D Prasetyowati, S Widodo, A Kusmantoro, SM Bakti</t>
  </si>
  <si>
    <t>F Udin, A Kusmantoro</t>
  </si>
  <si>
    <t>A Kusmantoro, M Novita, W Th. Indriati</t>
  </si>
  <si>
    <t>KZ Rifal, A Kusmantoro</t>
  </si>
  <si>
    <t>MTM Irvan, A Kusmantoro</t>
  </si>
  <si>
    <t>R Maulidin, A Kusmantoro</t>
  </si>
  <si>
    <t>A Kusmantoro, TI Wardani, I Farikhah</t>
  </si>
  <si>
    <t>A Kusmantoro, T Hiyama</t>
  </si>
  <si>
    <t>MMS Wafa, A Kusmantoro, M Margono</t>
  </si>
  <si>
    <t>A Buchori, A Kusmantoro</t>
  </si>
  <si>
    <t>A Kusmantoro, AR Hapsari</t>
  </si>
  <si>
    <t>A Kusmantoro, M Amiruddin</t>
  </si>
  <si>
    <t>M Ghifari, A Kusmantoro, BH Kunaryo</t>
  </si>
  <si>
    <t>R Maulidin, BR Nugroho, A Kusmantoro</t>
  </si>
  <si>
    <t>BR Nugroho, R Maulidin, A Kusmantoro</t>
  </si>
  <si>
    <t>A Buchori, D Prasetyowati, S Widodo, A Kusmantoro, SMB Pertiwi</t>
  </si>
  <si>
    <t>KRN Putri, A Kusmantoro, DD Septina</t>
  </si>
  <si>
    <t>MCARB Saputra, A Kusmantoro</t>
  </si>
  <si>
    <t>A Kusmantoro, I Farikhah, TI Wardani</t>
  </si>
  <si>
    <t>AFR Alfan, A Kusmantoro</t>
  </si>
  <si>
    <t>TI Wardani, A Kusmantoro, I Farikhah, FXD Purwosetiyono</t>
  </si>
  <si>
    <t>A Kusmantoro, BH Kunaryo</t>
  </si>
  <si>
    <t>A Kusmantoro, M Amirudin</t>
  </si>
  <si>
    <t>T Ardiyanto, A Kusmantoro</t>
  </si>
  <si>
    <t>L Indriyani, A Kusmantoro</t>
  </si>
  <si>
    <t>M Faizal, A Kusmantoro</t>
  </si>
  <si>
    <t>FM Inzaghi, A Kusmantoro</t>
  </si>
  <si>
    <t>BR Nugroho, A Kusmantoro</t>
  </si>
  <si>
    <t>B Achmad Buchori, A Kusmantoro, A Aan Burhanuddin, T Hiyama</t>
  </si>
  <si>
    <t>GD Prasetyo, A Kusmantoro</t>
  </si>
  <si>
    <t>JK Rachmanda, A Kusmantoro</t>
  </si>
  <si>
    <t>B Achmad Buchori, A Kusmantoro</t>
  </si>
  <si>
    <t>B Achmad Buchori, A Kusmantoro, A Aan Burhanuddin</t>
  </si>
  <si>
    <t>MEE Yulianto, A Kusmantoro, M Amiruddin</t>
  </si>
  <si>
    <t>A Kusmantoro, M Daliman, R Kristiawan, G Gidion</t>
  </si>
  <si>
    <t>N Khoiri, S Ristanto, AF Kurniawan</t>
  </si>
  <si>
    <t>MA Baqiya, AY Nugraheni, W Islamiyah, AF Kurniawan, MM Ramli, ...</t>
  </si>
  <si>
    <t>E Saptaningrum, D Nuvitalia, AF Kurniawan, NE Putri</t>
  </si>
  <si>
    <t>AF Kurniawan, MS Anwar, K Nadiyyah, M Mashuri, T Triwikantoro, ...</t>
  </si>
  <si>
    <t>N Khoiri, AF Kurniawan, EY Ismawati</t>
  </si>
  <si>
    <t>H Nasbey, RA Sirait, AF Kurniawan, A Samsudin, A Fadlan</t>
  </si>
  <si>
    <t>PA Rararati, H Nuroso, AF Kurniawan</t>
  </si>
  <si>
    <t>N Khoiri, AF Kurniawan, S Ristanto</t>
  </si>
  <si>
    <t>AF Kurniawan, MS Anwar, K Nadiyyah, Y Taryana, MM Ramli, M Mashuri, ...</t>
  </si>
  <si>
    <t>S Ristanto, C Huda, AF Kurniawan</t>
  </si>
  <si>
    <t>AF Kurniawan</t>
  </si>
  <si>
    <t>H Nasbey, NP Apriliani, AF Kurniawan, A Samsudin, A Fadlan</t>
  </si>
  <si>
    <t>H Nasbey, AF Kurniawan, AR Kusumadianti</t>
  </si>
  <si>
    <t>AF Kurniawan, K Nadiyyah, MS Anwar, R Andika Ajiesastra, Mashuri, ...</t>
  </si>
  <si>
    <t>DA Putri, Y Taryana, S Ristanto, N Khoiri, AF Kurniawan</t>
  </si>
  <si>
    <t>AF Kurniawan, S Ristanto, N Khoiri</t>
  </si>
  <si>
    <t>N Khoiri, S Respayanti, AF Kurniawan, S Ristanto</t>
  </si>
  <si>
    <t>N Khoiri, AF Kurniawan, S Ristanto, SP Martina</t>
  </si>
  <si>
    <t>H Nasbey, TP Nurdiansyah, AF Kurniawan, A Samsudin, A Fadlan, ...</t>
  </si>
  <si>
    <t>J Julia, N Khoiri, AF Kurniawan, S Ristanto</t>
  </si>
  <si>
    <t>AF Kurniawan, MS Anwar, K Nadiyyah, IGN Nitya</t>
  </si>
  <si>
    <t>S Sulistia, R Riyanto, P Busono, AF Kurniawan, J Saefan, W Kurniawan, ...</t>
  </si>
  <si>
    <t>Khairil, AF Kurniawan, M Ali, SE Sofyan</t>
  </si>
  <si>
    <t>T Wahyuni, F Armawanto, DA Faradita, N Khoiri, AF Kurniawan, J Saefan</t>
  </si>
  <si>
    <t>SDM Prasetyaningsekti, H Nuroso, AF Kurniawan</t>
  </si>
  <si>
    <t>FXD Purwosetiyono, F Nursyahidah, AF Kurniawan, MR Rubowo</t>
  </si>
  <si>
    <t>A Kurniawan, MS Rohman</t>
  </si>
  <si>
    <t>AF Kurniawan, S Ristanto, J Saefan, N Khoiri</t>
  </si>
  <si>
    <t>IA Pramesti, N Khoiri, AF Kurniawan</t>
  </si>
  <si>
    <t>S Ristanto, N Khoiri, AF Kurniawan, J Saefan</t>
  </si>
  <si>
    <t>SB Satrio, AK Rahmawan, AF Kurniawan</t>
  </si>
  <si>
    <t>IA Pramesti, AF Kurniawan, N Khoiri</t>
  </si>
  <si>
    <t>S Ristanto, HA Prakosa, N Khoiri, AF Kurniawan, J Saefan</t>
  </si>
  <si>
    <t>H Nasbey, Raihanati, L Karina, MH Rohman, AF Kurniawan</t>
  </si>
  <si>
    <t>NE Putri, AF Kurniawan</t>
  </si>
  <si>
    <t>L Juniati</t>
  </si>
  <si>
    <t>U Kaltsum, D Nuraeni, W Kurniawan, J Saefan, E Saptaningrum, ...</t>
  </si>
  <si>
    <t>A Kurniawan, R Sumarny, Y Sumiyati, I Fernandez</t>
  </si>
  <si>
    <t>M Amiruddin, I Harjanto, BH Kunaryo, M Margono</t>
  </si>
  <si>
    <t>MF Ibrahim, I Harjanto, B Kunaryo</t>
  </si>
  <si>
    <t>W Wijayanto, N Cholifah, AR Rozzaqi, BH Kunaryo, S Sudargo</t>
  </si>
  <si>
    <t>M Amiruddin, I Harjanto, BH Kunaryo, M Margono, N Aksin</t>
  </si>
  <si>
    <t>RMD Ujianti, S Wibowo, BH Kunaryo</t>
  </si>
  <si>
    <t>P Suryono, BH Kunaryo</t>
  </si>
  <si>
    <t>BH Kunaryo, M Somantri, A Sofwan</t>
  </si>
  <si>
    <t>I Harjanto, M Amiruddin, BH Kunaryo</t>
  </si>
  <si>
    <t>A Safrudin, BH Kunaryo</t>
  </si>
  <si>
    <t>LM Silalahi, Z Bonok, P Harahap, Y Yuniati, BH Kunaryo, N Pratiwi, ...</t>
  </si>
  <si>
    <t>MI Jahri, BH Kunaryo, G Winasis</t>
  </si>
  <si>
    <t>BH Kunaryo, AK Rahmawan, G Winasis, R Hermana</t>
  </si>
  <si>
    <t>HP Putra, BH Kunaryo</t>
  </si>
  <si>
    <t>AK Zulyani, BH Kunaryo</t>
  </si>
  <si>
    <t>GAAR Putra, BH Kunaryo, AK Rahmawan</t>
  </si>
  <si>
    <t>WT Laksono, BH Kunaryo</t>
  </si>
  <si>
    <t>M Amiruddin, I Harjanto, BH Kunaryo</t>
  </si>
  <si>
    <t>AN Romadhoni, BH Kunaryo, AK Rahmawan</t>
  </si>
  <si>
    <t>B Hadi Kunaryo</t>
  </si>
  <si>
    <t>B Hadi Kunaryo, I Harjanto, M Amiruddin</t>
  </si>
  <si>
    <t>NO Ardiansyah, M Amiruddin, BH Kunaryo</t>
  </si>
  <si>
    <t>AH Maulana, BH Kunaryo</t>
  </si>
  <si>
    <t>I Harjanto</t>
  </si>
  <si>
    <t>AR Adha, MA Musthofa, G Putra, I Harjanto</t>
  </si>
  <si>
    <t>P Bhardwaj, M Roy, S Srivastava, SK Singh, V Gupta, M Novita, ...</t>
  </si>
  <si>
    <t>EP Aji, M Amiruddin, I Harjanto</t>
  </si>
  <si>
    <t>N Fadlilah, I Harjanto, M Novita</t>
  </si>
  <si>
    <t>MAD Hakim, M Amiruddin, K Hasto, IH Margono, I Carsoni, ...</t>
  </si>
  <si>
    <t>D Susanto, M Amiruddin, I Harjanto</t>
  </si>
  <si>
    <t>Ikhwanudin, I Harjanto, F Yudaningrum</t>
  </si>
  <si>
    <t>A Khasan, M Amiruddin, I Harjanto</t>
  </si>
  <si>
    <t>KS Widi, M Amiruddin, N Aksin, M Margono, S Supriyadi</t>
  </si>
  <si>
    <t>I Harjanto, RC Afifah, F Yudaningrum</t>
  </si>
  <si>
    <t>D Triatmojo, A Joewono, TA Prakoso, RTS Putra, H Bhakti, R Sitepu, ...</t>
  </si>
  <si>
    <t>EB Satria, M Amirudin, I Harjanto</t>
  </si>
  <si>
    <t>AY Kusuma, I Harjanto, S Ristanto</t>
  </si>
  <si>
    <t>TN Muna, A Lusandi, I Harjanto</t>
  </si>
  <si>
    <t>A Latif, I Harjanto</t>
  </si>
  <si>
    <t>M Amiruddin, I Harjanto, M Margono, N Aksin, S Supriyadi</t>
  </si>
  <si>
    <t>IH Ikhwanudin</t>
  </si>
  <si>
    <t>I Harjanto, F Yudaningrum</t>
  </si>
  <si>
    <t>F Yudaningrum, I Harjanto</t>
  </si>
  <si>
    <t>RMN Muslikhan, H Widiyanto, I Harjanto</t>
  </si>
  <si>
    <t>I Harjanto, M Amiruddin, Margono</t>
  </si>
  <si>
    <t>M Margono, I Harjanto</t>
  </si>
  <si>
    <t>SR Handoko, M Amiruddin, I Harjanto</t>
  </si>
  <si>
    <t>N Fadlilah, M Amiruddin, I Harjanto</t>
  </si>
  <si>
    <t>I Farikhah</t>
  </si>
  <si>
    <t>R Wijayanti, F Roshayanti, I Farikhah, N Khoiri, J Siswanto</t>
  </si>
  <si>
    <t>I Farikhah, EA Elsharkawy, AS Saad, T Atia</t>
  </si>
  <si>
    <t>SW Utami, I Farikhah, N Khoiri, S Patonah, U Kultsum, S Suciati</t>
  </si>
  <si>
    <t>I Farikhah, EA Elsharkawy, H Nuroso, M Novita, D Marlina, ...</t>
  </si>
  <si>
    <t>ED Rokhmawati, I Farikhah, U Kaltsum, H Nuroso, A Burhanudin, ...</t>
  </si>
  <si>
    <t>M Novita, I Farikhah, RMD Ujianti, D Marlina, B Walker, H Kiyooka, ...</t>
  </si>
  <si>
    <t>I Setiawan, I Farikhah, A Rahmawati</t>
  </si>
  <si>
    <t>A Shakri, MAI Shawaludin, IFM Suffian, I Farikhah, KM Pa’ad</t>
  </si>
  <si>
    <t>DA Susanto, N Cholifah, M Munawar, I Menarianti, I Farikhah</t>
  </si>
  <si>
    <t>M Novita, I Farikhah, D Marlina, CG Ma, B Walker, K Ogasawara</t>
  </si>
  <si>
    <t>I Setiawan, I Farikhah, P Murti, AB Setio-Utomo</t>
  </si>
  <si>
    <t>I Farikhah, S Supriyadi, M Novita, AN Masruri, H Nuroso, D Marlina</t>
  </si>
  <si>
    <t>I Sukmawati, J Siswanto, I Farikhah</t>
  </si>
  <si>
    <t>I Farikhah, RN Isnandi, I Setiawan, R Hermana, ED Rokhmawati, ...</t>
  </si>
  <si>
    <t>I Farikhah, H Nuroso, M Novita, D Marlina, S Supriyadi, Carsoni</t>
  </si>
  <si>
    <t>I Farikhah, A Mukhtar, A Muslim, MB Nasr, A Burhanuddin, AN Masruri</t>
  </si>
  <si>
    <t>S Supriyadi, I Farikhah, S Suhartono</t>
  </si>
  <si>
    <t>M Margono, M Amiruddin, I Farikhah</t>
  </si>
  <si>
    <t>MIB Zambri, IBA Rahim, ZBM Zain, MSB Saad, MFNB Tajuddin, ...</t>
  </si>
  <si>
    <t>I Farikhah, PN Mohd, S Wibowo, N Khoiri, S Ristanto, R Hermana</t>
  </si>
  <si>
    <t>I Farikhah, AM Bahman</t>
  </si>
  <si>
    <t>I Setiawan, P Murti, I Farikhah, ABS Utomo</t>
  </si>
  <si>
    <t>H Widiyanto, G Winasis, I Farikhah</t>
  </si>
  <si>
    <t>I Farikhah, EP Aldiansyah, N Khoiri, S Ristanto, S Wibowo</t>
  </si>
  <si>
    <t>CC Carsoni, S Supriyadi, I Farikhah</t>
  </si>
  <si>
    <t>DF Setiawan, I Farikhah, MF Darmaputra</t>
  </si>
  <si>
    <t>GA Pratio, M Margono, D Zulkarnaen, I Kertati</t>
  </si>
  <si>
    <t>A Mukhtar, A Burhanuddin, M Margono, M Malik, DYDA Pranata, ...</t>
  </si>
  <si>
    <t>AD Mahendra</t>
  </si>
  <si>
    <t>G Rheido, R Novriadi, MTA Suhardi, S Suharyadi, SP Sektiana, ...</t>
  </si>
  <si>
    <t>TS Dilla, M Margono, K Hasto</t>
  </si>
  <si>
    <t>M Farkan, R Novriadi, SP Sektiana, F Lathifah, M Margono, I Ilhamdi, ...</t>
  </si>
  <si>
    <t>MZ Arifin, M Amiruddin, M Margono</t>
  </si>
  <si>
    <t>M Margono</t>
  </si>
  <si>
    <t>H Pontiawan, K Hasto, M Margono</t>
  </si>
  <si>
    <t>M Amiruddin</t>
  </si>
  <si>
    <t>M Muhammad Amiruddin,Imadudin Harjanto,Bambang Hadi Kunaryo</t>
  </si>
  <si>
    <t>IB Minarti, AGC Wicaksono, M Amiruddin, A Nurwahyunani</t>
  </si>
  <si>
    <t>MM Alfaq, MFI Sadana, M Amiruddin, C Carsoni</t>
  </si>
  <si>
    <t>M Muhammad Zaenal Arifin, Muhammad Amiruddin</t>
  </si>
  <si>
    <t>IF Margono, Muhammad Amiruddin</t>
  </si>
  <si>
    <t>FM Inzagi, M Amirudin, G Winasis</t>
  </si>
  <si>
    <t>KE Saputra, M Amiruddin, N Aksin</t>
  </si>
  <si>
    <t>MR Mubarok, M Amiruddin</t>
  </si>
  <si>
    <t>K Anwar, M Amiruddin</t>
  </si>
  <si>
    <t>MI Jahri, M Amiruddin, G Winasis</t>
  </si>
  <si>
    <t>M Amirudin</t>
  </si>
  <si>
    <t>MA Maruf, M Amirudin, M Margono</t>
  </si>
  <si>
    <t>MR Putri</t>
  </si>
  <si>
    <t>S Ristianti, N Khoiri, J Saefan, S Ristanto</t>
  </si>
  <si>
    <t>EY Ismawati, N Khoiri, J Saefan, S Ristanto, HA Prakosa, S Ristianti</t>
  </si>
  <si>
    <t>M Novita, S Ristanto, E Saptaningrum, S Supriyadi, D Marlina, ...</t>
  </si>
  <si>
    <t>N Khoiri, S Ristanto, C Huda, J Saefan, W Kurniawan</t>
  </si>
  <si>
    <t>F Ardiyanti, S Ristanto, H Nuroso</t>
  </si>
  <si>
    <t>SAP Nurchikmah, J Siswanto, S Ristanto</t>
  </si>
  <si>
    <t>AC Utami, N Khoiri, J Saefan, S Ristanto</t>
  </si>
  <si>
    <t>A Buchori, S Ristanto, A Setiawan, ND Rahmawati</t>
  </si>
  <si>
    <t>S Ristanto, W Nugroho, E Sulistya, GB Suparta</t>
  </si>
  <si>
    <t>NR Zulva, S Ristanto, N Khoiri</t>
  </si>
  <si>
    <t>DF Aslam, N Khoiri, S Joko Saefan, E Saptaningrum, S Ristanto</t>
  </si>
  <si>
    <t>PA Damayanti, E Saptaningrum, S Supriyadi, BA Wibawa, S Ristanto</t>
  </si>
  <si>
    <t>ES S Ristanto, W Nugroho, GB Suparta</t>
  </si>
  <si>
    <t>DA Kuntari, S Ristanto, J Siswanto, W Kurniawan</t>
  </si>
  <si>
    <t>DA Kuntari, S Ristanto, J Siswanto</t>
  </si>
  <si>
    <t>MR Putri, S Ristanto, D Nuvitalia</t>
  </si>
  <si>
    <t>A Zaroni</t>
  </si>
  <si>
    <t>A Buchori, S Ristanto, Y Setyoadi, F Nurdyansyah</t>
  </si>
  <si>
    <t>J Julia, S Ristanto, AF Kuriawan, N Khoiri</t>
  </si>
  <si>
    <t>MYW Lestari, TCS Budiman, J Sodiq, S Ristanto</t>
  </si>
  <si>
    <t>J Siswanto, S Ristanto</t>
  </si>
  <si>
    <t>National Journal</t>
  </si>
  <si>
    <t>International Journal</t>
  </si>
  <si>
    <t>Community Service Journal</t>
  </si>
  <si>
    <t>International Proceeding</t>
  </si>
  <si>
    <t>Other</t>
  </si>
  <si>
    <t>National Proceeding</t>
  </si>
  <si>
    <t>Book/Thesis/Report</t>
  </si>
  <si>
    <t>Patent</t>
  </si>
  <si>
    <t>https://scholar.google.com/citations?view_op=view_citation&amp;hl=en&amp;user=pUC2OpkAAAAJ&amp;citation_for_view=pUC2OpkAAAAJ:4TOpqqG69KYC</t>
  </si>
  <si>
    <t>https://scholar.google.com/citations?view_op=view_citation&amp;hl=en&amp;user=pUC2OpkAAAAJ&amp;citation_for_view=pUC2OpkAAAAJ:4DMP91E08xMC</t>
  </si>
  <si>
    <t>https://scholar.google.com/citations?view_op=view_citation&amp;hl=en&amp;user=pUC2OpkAAAAJ&amp;citation_for_view=pUC2OpkAAAAJ:MXK_kJrjxJIC</t>
  </si>
  <si>
    <t>https://scholar.google.com/citations?view_op=view_citation&amp;hl=en&amp;user=pUC2OpkAAAAJ&amp;citation_for_view=pUC2OpkAAAAJ:_Qo2XoVZTnwC</t>
  </si>
  <si>
    <t>https://scholar.google.com/citations?view_op=view_citation&amp;hl=en&amp;user=pUC2OpkAAAAJ&amp;citation_for_view=pUC2OpkAAAAJ:k_IJM867U9cC</t>
  </si>
  <si>
    <t>https://scholar.google.com/citations?view_op=view_citation&amp;hl=en&amp;user=pUC2OpkAAAAJ&amp;citation_for_view=pUC2OpkAAAAJ:QIV2ME_5wuYC</t>
  </si>
  <si>
    <t>https://scholar.google.com/citations?view_op=view_citation&amp;hl=en&amp;user=pUC2OpkAAAAJ&amp;citation_for_view=pUC2OpkAAAAJ:kNdYIx-mwKoC</t>
  </si>
  <si>
    <t>https://scholar.google.com/citations?view_op=view_citation&amp;hl=en&amp;user=pUC2OpkAAAAJ&amp;citation_for_view=pUC2OpkAAAAJ:bFI3QPDXJZMC</t>
  </si>
  <si>
    <t>https://scholar.google.com/citations?view_op=view_citation&amp;hl=en&amp;user=pUC2OpkAAAAJ&amp;citation_for_view=pUC2OpkAAAAJ:isC4tDSrTZIC</t>
  </si>
  <si>
    <t>https://scholar.google.com/citations?view_op=view_citation&amp;hl=en&amp;user=pUC2OpkAAAAJ&amp;citation_for_view=pUC2OpkAAAAJ:-f6ydRqryjwC</t>
  </si>
  <si>
    <t>https://scholar.google.com/citations?view_op=view_citation&amp;hl=en&amp;user=pUC2OpkAAAAJ&amp;citation_for_view=pUC2OpkAAAAJ:4JMBOYKVnBMC</t>
  </si>
  <si>
    <t>https://scholar.google.com/citations?view_op=view_citation&amp;hl=en&amp;user=pUC2OpkAAAAJ&amp;citation_for_view=pUC2OpkAAAAJ:dhFuZR0502QC</t>
  </si>
  <si>
    <t>https://scholar.google.com/citations?view_op=view_citation&amp;hl=en&amp;user=pUC2OpkAAAAJ&amp;citation_for_view=pUC2OpkAAAAJ:nb7KW1ujOQ8C</t>
  </si>
  <si>
    <t>https://scholar.google.com/citations?view_op=view_citation&amp;hl=en&amp;user=pUC2OpkAAAAJ&amp;cstart=20&amp;pagesize=80&amp;citation_for_view=pUC2OpkAAAAJ:CHSYGLWDkRkC</t>
  </si>
  <si>
    <t>https://scholar.google.com/citations?view_op=view_citation&amp;hl=en&amp;user=pUC2OpkAAAAJ&amp;cstart=20&amp;pagesize=80&amp;citation_for_view=pUC2OpkAAAAJ:M3NEmzRMIkIC</t>
  </si>
  <si>
    <t>https://scholar.google.com/citations?view_op=view_citation&amp;hl=en&amp;user=pUC2OpkAAAAJ&amp;cstart=20&amp;pagesize=80&amp;citation_for_view=pUC2OpkAAAAJ:9ZlFYXVOiuMC</t>
  </si>
  <si>
    <t>https://scholar.google.com/citations?view_op=view_citation&amp;hl=en&amp;user=pUC2OpkAAAAJ&amp;cstart=20&amp;pagesize=80&amp;citation_for_view=pUC2OpkAAAAJ:xtRiw3GOFMkC</t>
  </si>
  <si>
    <t>https://scholar.google.com/citations?view_op=view_citation&amp;hl=en&amp;user=pUC2OpkAAAAJ&amp;cstart=20&amp;pagesize=80&amp;citation_for_view=pUC2OpkAAAAJ:vV6vV6tmYwMC</t>
  </si>
  <si>
    <t>https://scholar.google.com/citations?view_op=view_citation&amp;hl=en&amp;user=pUC2OpkAAAAJ&amp;cstart=20&amp;pagesize=80&amp;citation_for_view=pUC2OpkAAAAJ:YFjsv_pBGBYC</t>
  </si>
  <si>
    <t>https://scholar.google.com/citations?view_op=view_citation&amp;hl=en&amp;user=pUC2OpkAAAAJ&amp;cstart=20&amp;pagesize=80&amp;citation_for_view=pUC2OpkAAAAJ:Wp0gIr-vW9MC</t>
  </si>
  <si>
    <t>https://scholar.google.com/citations?view_op=view_citation&amp;hl=en&amp;user=pUC2OpkAAAAJ&amp;cstart=20&amp;pagesize=80&amp;citation_for_view=pUC2OpkAAAAJ:r0BpntZqJG4C</t>
  </si>
  <si>
    <t>https://scholar.google.com/citations?view_op=view_citation&amp;hl=en&amp;user=pUC2OpkAAAAJ&amp;cstart=20&amp;pagesize=80&amp;citation_for_view=pUC2OpkAAAAJ:YOwf2qJgpHMC</t>
  </si>
  <si>
    <t>https://scholar.google.com/citations?view_op=view_citation&amp;hl=en&amp;user=pUC2OpkAAAAJ&amp;cstart=20&amp;pagesize=80&amp;citation_for_view=pUC2OpkAAAAJ:8k81kl-MbHgC</t>
  </si>
  <si>
    <t>https://scholar.google.com/citations?view_op=view_citation&amp;hl=en&amp;user=pUC2OpkAAAAJ&amp;cstart=20&amp;pagesize=80&amp;citation_for_view=pUC2OpkAAAAJ:1sJd4Hv_s6UC</t>
  </si>
  <si>
    <t>https://scholar.google.com/citations?view_op=view_citation&amp;hl=en&amp;user=pUC2OpkAAAAJ&amp;cstart=20&amp;pagesize=80&amp;citation_for_view=pUC2OpkAAAAJ:rO6llkc54NcC</t>
  </si>
  <si>
    <t>https://scholar.google.com/citations?view_op=view_citation&amp;hl=en&amp;user=pUC2OpkAAAAJ&amp;cstart=20&amp;pagesize=80&amp;citation_for_view=pUC2OpkAAAAJ:35N4QoGY0k4C</t>
  </si>
  <si>
    <t>https://scholar.google.com/citations?view_op=view_citation&amp;hl=en&amp;user=pUC2OpkAAAAJ&amp;cstart=20&amp;pagesize=80&amp;citation_for_view=pUC2OpkAAAAJ:BqipwSGYUEgC</t>
  </si>
  <si>
    <t>https://scholar.google.com/citations?view_op=view_citation&amp;hl=en&amp;user=pUC2OpkAAAAJ&amp;cstart=20&amp;pagesize=80&amp;citation_for_view=pUC2OpkAAAAJ:yD5IFk8b50cC</t>
  </si>
  <si>
    <t>https://scholar.google.com/citations?view_op=view_citation&amp;hl=en&amp;user=pUC2OpkAAAAJ&amp;cstart=20&amp;pagesize=80&amp;citation_for_view=pUC2OpkAAAAJ:zA6iFVUQeVQC</t>
  </si>
  <si>
    <t>https://scholar.google.com/citations?view_op=view_citation&amp;hl=en&amp;user=pUC2OpkAAAAJ&amp;cstart=20&amp;pagesize=80&amp;citation_for_view=pUC2OpkAAAAJ:NMxIlDl6LWMC</t>
  </si>
  <si>
    <t>https://scholar.google.com/citations?view_op=view_citation&amp;hl=en&amp;user=pUC2OpkAAAAJ&amp;cstart=20&amp;pagesize=80&amp;citation_for_view=pUC2OpkAAAAJ:maZDTaKrznsC</t>
  </si>
  <si>
    <t>https://scholar.google.com/citations?view_op=view_citation&amp;hl=en&amp;user=pUC2OpkAAAAJ&amp;cstart=20&amp;pagesize=80&amp;citation_for_view=pUC2OpkAAAAJ:R3hNpaxXUhUC</t>
  </si>
  <si>
    <t>https://scholar.google.com/citations?view_op=view_citation&amp;hl=en&amp;user=pUC2OpkAAAAJ&amp;cstart=20&amp;pagesize=80&amp;citation_for_view=pUC2OpkAAAAJ:GnPB-g6toBAC</t>
  </si>
  <si>
    <t>https://scholar.google.com/citations?view_op=view_citation&amp;hl=en&amp;user=pUC2OpkAAAAJ&amp;cstart=20&amp;pagesize=80&amp;citation_for_view=pUC2OpkAAAAJ:JV2RwH3_ST0C</t>
  </si>
  <si>
    <t>https://scholar.google.com/citations?view_op=view_citation&amp;hl=en&amp;user=pUC2OpkAAAAJ&amp;cstart=20&amp;pagesize=80&amp;citation_for_view=pUC2OpkAAAAJ:HDshCWvjkbEC</t>
  </si>
  <si>
    <t>https://scholar.google.com/citations?view_op=view_citation&amp;hl=en&amp;user=pUC2OpkAAAAJ&amp;cstart=20&amp;pagesize=80&amp;citation_for_view=pUC2OpkAAAAJ:SP6oXDckpogC</t>
  </si>
  <si>
    <t>https://scholar.google.com/citations?view_op=view_citation&amp;hl=en&amp;user=pUC2OpkAAAAJ&amp;cstart=20&amp;pagesize=80&amp;citation_for_view=pUC2OpkAAAAJ:KxtntwgDAa4C</t>
  </si>
  <si>
    <t>https://scholar.google.com/citations?view_op=view_citation&amp;hl=en&amp;user=pUC2OpkAAAAJ&amp;cstart=20&amp;pagesize=80&amp;citation_for_view=pUC2OpkAAAAJ:P5F9QuxV20EC</t>
  </si>
  <si>
    <t>https://scholar.google.com/citations?view_op=view_citation&amp;hl=en&amp;user=pUC2OpkAAAAJ&amp;cstart=20&amp;pagesize=80&amp;citation_for_view=pUC2OpkAAAAJ:NhqRSupF_l8C</t>
  </si>
  <si>
    <t>https://scholar.google.com/citations?view_op=view_citation&amp;hl=en&amp;user=pUC2OpkAAAAJ&amp;cstart=20&amp;pagesize=80&amp;citation_for_view=pUC2OpkAAAAJ:abG-DnoFyZgC</t>
  </si>
  <si>
    <t>https://scholar.google.com/citations?view_op=view_citation&amp;hl=en&amp;user=pUC2OpkAAAAJ&amp;cstart=20&amp;pagesize=80&amp;citation_for_view=pUC2OpkAAAAJ:f2IySw72cVMC</t>
  </si>
  <si>
    <t>https://scholar.google.com/citations?view_op=view_citation&amp;hl=en&amp;user=pUC2OpkAAAAJ&amp;cstart=20&amp;pagesize=80&amp;citation_for_view=pUC2OpkAAAAJ:pyW8ca7W8N0C</t>
  </si>
  <si>
    <t>https://scholar.google.com/citations?view_op=view_citation&amp;hl=en&amp;user=pUC2OpkAAAAJ&amp;cstart=20&amp;pagesize=80&amp;citation_for_view=pUC2OpkAAAAJ:b0M2c_1WBrUC</t>
  </si>
  <si>
    <t>https://scholar.google.com/citations?view_op=view_citation&amp;hl=en&amp;user=pUC2OpkAAAAJ&amp;cstart=20&amp;pagesize=80&amp;citation_for_view=pUC2OpkAAAAJ:EUQCXRtRnyEC</t>
  </si>
  <si>
    <t>https://scholar.google.com/citations?view_op=view_citation&amp;hl=en&amp;user=pUC2OpkAAAAJ&amp;cstart=20&amp;pagesize=80&amp;citation_for_view=pUC2OpkAAAAJ:dshw04ExmUIC</t>
  </si>
  <si>
    <t>https://scholar.google.com/citations?view_op=view_citation&amp;hl=en&amp;user=pUC2OpkAAAAJ&amp;cstart=20&amp;pagesize=80&amp;citation_for_view=pUC2OpkAAAAJ:3s1wT3WcHBgC</t>
  </si>
  <si>
    <t>https://scholar.google.com/citations?view_op=view_citation&amp;hl=en&amp;user=pUC2OpkAAAAJ&amp;cstart=20&amp;pagesize=80&amp;citation_for_view=pUC2OpkAAAAJ:ZHo1McVdvXMC</t>
  </si>
  <si>
    <t>https://scholar.google.com/citations?view_op=view_citation&amp;hl=en&amp;user=pUC2OpkAAAAJ&amp;cstart=20&amp;pagesize=80&amp;citation_for_view=pUC2OpkAAAAJ:SeFeTyx0c_EC</t>
  </si>
  <si>
    <t>https://scholar.google.com/citations?view_op=view_citation&amp;hl=en&amp;user=pUC2OpkAAAAJ&amp;cstart=20&amp;pagesize=80&amp;citation_for_view=pUC2OpkAAAAJ:M05iB0D1s5AC</t>
  </si>
  <si>
    <t>https://scholar.google.com/citations?view_op=view_citation&amp;hl=en&amp;user=pUC2OpkAAAAJ&amp;cstart=20&amp;pagesize=80&amp;citation_for_view=pUC2OpkAAAAJ:70eg2SAEIzsC</t>
  </si>
  <si>
    <t>https://scholar.google.com/citations?view_op=view_citation&amp;hl=en&amp;user=pUC2OpkAAAAJ&amp;cstart=20&amp;pagesize=80&amp;citation_for_view=pUC2OpkAAAAJ:2P1L_qKh6hAC</t>
  </si>
  <si>
    <t>https://scholar.google.com/citations?view_op=view_citation&amp;hl=en&amp;user=pUC2OpkAAAAJ&amp;cstart=20&amp;pagesize=80&amp;citation_for_view=pUC2OpkAAAAJ:D03iK_w7-QYC</t>
  </si>
  <si>
    <t>https://scholar.google.com/citations?view_op=view_citation&amp;hl=en&amp;user=pUC2OpkAAAAJ&amp;cstart=20&amp;pagesize=80&amp;citation_for_view=pUC2OpkAAAAJ:a0OBvERweLwC</t>
  </si>
  <si>
    <t>https://scholar.google.com/citations?view_op=view_citation&amp;hl=en&amp;user=pUC2OpkAAAAJ&amp;cstart=20&amp;pagesize=80&amp;citation_for_view=pUC2OpkAAAAJ:cFHS6HbyZ2cC</t>
  </si>
  <si>
    <t>https://scholar.google.com/citations?view_op=view_citation&amp;hl=en&amp;user=pUC2OpkAAAAJ&amp;cstart=20&amp;pagesize=80&amp;citation_for_view=pUC2OpkAAAAJ:dfsIfKJdRG4C</t>
  </si>
  <si>
    <t>https://scholar.google.com/citations?view_op=view_citation&amp;hl=en&amp;user=pUC2OpkAAAAJ&amp;cstart=20&amp;pagesize=80&amp;citation_for_view=pUC2OpkAAAAJ:4OULZ7Gr8RgC</t>
  </si>
  <si>
    <t>https://scholar.google.com/citations?view_op=view_citation&amp;hl=en&amp;user=pUC2OpkAAAAJ&amp;cstart=20&amp;pagesize=80&amp;citation_for_view=pUC2OpkAAAAJ:fPk4N6BV_jEC</t>
  </si>
  <si>
    <t>https://scholar.google.com/citations?view_op=view_citation&amp;hl=en&amp;user=pUC2OpkAAAAJ&amp;cstart=20&amp;pagesize=80&amp;citation_for_view=pUC2OpkAAAAJ:u_35RYKgDlwC</t>
  </si>
  <si>
    <t>https://scholar.google.com/citations?view_op=view_citation&amp;hl=en&amp;user=pUC2OpkAAAAJ&amp;cstart=20&amp;pagesize=80&amp;citation_for_view=pUC2OpkAAAAJ:lSLTfruPkqcC</t>
  </si>
  <si>
    <t>https://scholar.google.com/citations?view_op=view_citation&amp;hl=en&amp;user=pUC2OpkAAAAJ&amp;cstart=20&amp;pagesize=80&amp;citation_for_view=pUC2OpkAAAAJ:O3NaXMp0MMsC</t>
  </si>
  <si>
    <t>https://scholar.google.com/citations?view_op=view_citation&amp;hl=en&amp;user=pUC2OpkAAAAJ&amp;cstart=20&amp;pagesize=80&amp;citation_for_view=pUC2OpkAAAAJ:e5wmG9Sq2KIC</t>
  </si>
  <si>
    <t>https://scholar.google.com/citations?view_op=view_citation&amp;hl=en&amp;user=pUC2OpkAAAAJ&amp;cstart=20&amp;pagesize=80&amp;citation_for_view=pUC2OpkAAAAJ:ns9cj8rnVeAC</t>
  </si>
  <si>
    <t>https://scholar.google.com/citations?view_op=view_citation&amp;hl=en&amp;user=pUC2OpkAAAAJ&amp;cstart=20&amp;pagesize=80&amp;citation_for_view=pUC2OpkAAAAJ:hFOr9nPyWt4C</t>
  </si>
  <si>
    <t>https://scholar.google.com/citations?view_op=view_citation&amp;hl=en&amp;user=pUC2OpkAAAAJ&amp;cstart=20&amp;pagesize=80&amp;citation_for_view=pUC2OpkAAAAJ:hMod-77fHWUC</t>
  </si>
  <si>
    <t>https://scholar.google.com/citations?view_op=view_citation&amp;hl=en&amp;user=pUC2OpkAAAAJ&amp;cstart=20&amp;pagesize=80&amp;citation_for_view=pUC2OpkAAAAJ:blknAaTinKkC</t>
  </si>
  <si>
    <t>https://scholar.google.com/citations?view_op=view_citation&amp;hl=en&amp;user=pUC2OpkAAAAJ&amp;cstart=20&amp;pagesize=80&amp;citation_for_view=pUC2OpkAAAAJ:j3f4tGmQtD8C</t>
  </si>
  <si>
    <t>https://scholar.google.com/citations?view_op=view_citation&amp;hl=en&amp;user=pUC2OpkAAAAJ&amp;cstart=20&amp;pagesize=80&amp;citation_for_view=pUC2OpkAAAAJ:TQgYirikUcIC</t>
  </si>
  <si>
    <t>https://scholar.google.com/citations?view_op=view_citation&amp;hl=en&amp;user=pUC2OpkAAAAJ&amp;cstart=20&amp;pagesize=80&amp;citation_for_view=pUC2OpkAAAAJ:mB3voiENLucC</t>
  </si>
  <si>
    <t>https://scholar.google.com/citations?view_op=view_citation&amp;hl=en&amp;user=pUC2OpkAAAAJ&amp;cstart=20&amp;pagesize=80&amp;citation_for_view=pUC2OpkAAAAJ:iH-uZ7U-co4C</t>
  </si>
  <si>
    <t>https://scholar.google.com/citations?view_op=view_citation&amp;hl=en&amp;user=pUC2OpkAAAAJ&amp;cstart=20&amp;pagesize=80&amp;citation_for_view=pUC2OpkAAAAJ:qUcmZB5y_30C</t>
  </si>
  <si>
    <t>https://scholar.google.com/citations?view_op=view_citation&amp;hl=en&amp;user=pUC2OpkAAAAJ&amp;cstart=20&amp;pagesize=80&amp;citation_for_view=pUC2OpkAAAAJ:IWHjjKOFINEC</t>
  </si>
  <si>
    <t>https://scholar.google.com/citations?view_op=view_citation&amp;hl=en&amp;user=pUC2OpkAAAAJ&amp;cstart=20&amp;pagesize=80&amp;citation_for_view=pUC2OpkAAAAJ:ZeXyd9-uunAC</t>
  </si>
  <si>
    <t>https://scholar.google.com/citations?view_op=view_citation&amp;hl=en&amp;user=pUC2OpkAAAAJ&amp;cstart=20&amp;pagesize=80&amp;citation_for_view=pUC2OpkAAAAJ:L8Ckcad2t8MC</t>
  </si>
  <si>
    <t>https://scholar.google.com/citations?view_op=view_citation&amp;hl=en&amp;user=pUC2OpkAAAAJ&amp;cstart=20&amp;pagesize=80&amp;citation_for_view=pUC2OpkAAAAJ:7PzlFSSx8tAC</t>
  </si>
  <si>
    <t>https://scholar.google.com/citations?view_op=view_citation&amp;hl=en&amp;user=pUC2OpkAAAAJ&amp;cstart=20&amp;pagesize=80&amp;citation_for_view=pUC2OpkAAAAJ:hC7cP41nSMkC</t>
  </si>
  <si>
    <t>https://scholar.google.com/citations?view_op=view_citation&amp;hl=en&amp;user=pUC2OpkAAAAJ&amp;cstart=20&amp;pagesize=80&amp;citation_for_view=pUC2OpkAAAAJ:pqnbT2bcN3wC</t>
  </si>
  <si>
    <t>https://scholar.google.com/citations?view_op=view_citation&amp;hl=en&amp;user=pUC2OpkAAAAJ&amp;cstart=20&amp;pagesize=80&amp;citation_for_view=pUC2OpkAAAAJ:_kc_bZDykSQC</t>
  </si>
  <si>
    <t>https://scholar.google.com/citations?view_op=view_citation&amp;hl=en&amp;user=pUC2OpkAAAAJ&amp;cstart=20&amp;pagesize=80&amp;citation_for_view=pUC2OpkAAAAJ:Zph67rFs4hoC</t>
  </si>
  <si>
    <t>https://scholar.google.com/citations?view_op=view_citation&amp;hl=id&amp;user=lzDthZwAAAAJ&amp;citation_for_view=lzDthZwAAAAJ:ZeXyd9-uunAC</t>
  </si>
  <si>
    <t>https://scholar.google.com/citations?view_op=view_citation&amp;hl=id&amp;user=lzDthZwAAAAJ&amp;citation_for_view=lzDthZwAAAAJ:hqOjcs7Dif8C</t>
  </si>
  <si>
    <t>https://scholar.google.com/citations?view_op=view_citation&amp;hl=id&amp;user=lzDthZwAAAAJ&amp;citation_for_view=lzDthZwAAAAJ:IWHjjKOFINEC</t>
  </si>
  <si>
    <t>https://scholar.google.com/citations?view_op=view_citation&amp;hl=id&amp;user=lzDthZwAAAAJ&amp;citation_for_view=lzDthZwAAAAJ:3fE2CSJIrl8C</t>
  </si>
  <si>
    <t>https://scholar.google.com/citations?view_op=view_citation&amp;hl=id&amp;user=lzDthZwAAAAJ&amp;citation_for_view=lzDthZwAAAAJ:-f6ydRqryjwC</t>
  </si>
  <si>
    <t>https://scholar.google.com/citations?view_op=view_citation&amp;hl=id&amp;user=lzDthZwAAAAJ&amp;citation_for_view=lzDthZwAAAAJ:r0BpntZqJG4C</t>
  </si>
  <si>
    <t>https://scholar.google.com/citations?view_op=view_citation&amp;hl=id&amp;user=lzDthZwAAAAJ&amp;citation_for_view=lzDthZwAAAAJ:iH-uZ7U-co4C</t>
  </si>
  <si>
    <t>https://scholar.google.com/citations?view_op=view_citation&amp;hl=id&amp;user=lzDthZwAAAAJ&amp;citation_for_view=lzDthZwAAAAJ:7PzlFSSx8tAC</t>
  </si>
  <si>
    <t>https://scholar.google.com/citations?view_op=view_citation&amp;hl=id&amp;user=lzDthZwAAAAJ&amp;citation_for_view=lzDthZwAAAAJ:Zph67rFs4hoC</t>
  </si>
  <si>
    <t>https://scholar.google.com/citations?view_op=view_citation&amp;hl=id&amp;user=lzDthZwAAAAJ&amp;citation_for_view=lzDthZwAAAAJ:KlAtU1dfN6UC</t>
  </si>
  <si>
    <t>https://scholar.google.com/citations?view_op=view_citation&amp;hl=id&amp;user=lzDthZwAAAAJ&amp;cstart=20&amp;pagesize=80&amp;citation_for_view=lzDthZwAAAAJ:j3f4tGmQtD8C</t>
  </si>
  <si>
    <t>https://scholar.google.com/citations?view_op=view_citation&amp;hl=id&amp;user=lzDthZwAAAAJ&amp;cstart=20&amp;pagesize=80&amp;citation_for_view=lzDthZwAAAAJ:RHpTSmoSYBkC</t>
  </si>
  <si>
    <t>https://scholar.google.com/citations?view_op=view_citation&amp;hl=id&amp;user=lzDthZwAAAAJ&amp;cstart=20&amp;pagesize=80&amp;citation_for_view=lzDthZwAAAAJ:dhFuZR0502QC</t>
  </si>
  <si>
    <t>https://scholar.google.com/citations?view_op=view_citation&amp;hl=id&amp;user=lzDthZwAAAAJ&amp;cstart=20&amp;pagesize=80&amp;citation_for_view=lzDthZwAAAAJ:aqlVkmm33-oC</t>
  </si>
  <si>
    <t>https://scholar.google.com/citations?view_op=view_citation&amp;hl=id&amp;user=lzDthZwAAAAJ&amp;cstart=20&amp;pagesize=80&amp;citation_for_view=lzDthZwAAAAJ:5nxA0vEk-isC</t>
  </si>
  <si>
    <t>https://scholar.google.com/citations?view_op=view_citation&amp;hl=id&amp;user=lzDthZwAAAAJ&amp;cstart=20&amp;pagesize=80&amp;citation_for_view=lzDthZwAAAAJ:NMxIlDl6LWMC</t>
  </si>
  <si>
    <t>https://scholar.google.com/citations?view_op=view_citation&amp;hl=id&amp;user=lzDthZwAAAAJ&amp;cstart=20&amp;pagesize=80&amp;citation_for_view=lzDthZwAAAAJ:isC4tDSrTZIC</t>
  </si>
  <si>
    <t>https://scholar.google.com/citations?view_op=view_citation&amp;hl=id&amp;user=lzDthZwAAAAJ&amp;cstart=20&amp;pagesize=80&amp;citation_for_view=lzDthZwAAAAJ:QIV2ME_5wuYC</t>
  </si>
  <si>
    <t>https://scholar.google.com/citations?view_op=view_citation&amp;hl=id&amp;user=lzDthZwAAAAJ&amp;cstart=20&amp;pagesize=80&amp;citation_for_view=lzDthZwAAAAJ:M3ejUd6NZC8C</t>
  </si>
  <si>
    <t>https://scholar.google.com/citations?view_op=view_citation&amp;hl=id&amp;user=lzDthZwAAAAJ&amp;cstart=20&amp;pagesize=80&amp;citation_for_view=lzDthZwAAAAJ:M3NEmzRMIkIC</t>
  </si>
  <si>
    <t>https://scholar.google.com/citations?view_op=view_citation&amp;hl=id&amp;user=lzDthZwAAAAJ&amp;cstart=20&amp;pagesize=80&amp;citation_for_view=lzDthZwAAAAJ:maZDTaKrznsC</t>
  </si>
  <si>
    <t>https://scholar.google.com/citations?view_op=view_citation&amp;hl=id&amp;user=lzDthZwAAAAJ&amp;cstart=20&amp;pagesize=80&amp;citation_for_view=lzDthZwAAAAJ:TFP_iSt0sucC</t>
  </si>
  <si>
    <t>https://scholar.google.com/citations?view_op=view_citation&amp;hl=id&amp;user=lzDthZwAAAAJ&amp;cstart=20&amp;pagesize=80&amp;citation_for_view=lzDthZwAAAAJ:TQgYirikUcIC</t>
  </si>
  <si>
    <t>https://scholar.google.com/citations?view_op=view_citation&amp;hl=id&amp;user=lzDthZwAAAAJ&amp;cstart=20&amp;pagesize=80&amp;citation_for_view=lzDthZwAAAAJ:e5wmG9Sq2KIC</t>
  </si>
  <si>
    <t>https://scholar.google.com/citations?view_op=view_citation&amp;hl=id&amp;user=lzDthZwAAAAJ&amp;cstart=20&amp;pagesize=80&amp;citation_for_view=lzDthZwAAAAJ:mB3voiENLucC</t>
  </si>
  <si>
    <t>https://scholar.google.com/citations?view_op=view_citation&amp;hl=id&amp;user=lzDthZwAAAAJ&amp;cstart=20&amp;pagesize=80&amp;citation_for_view=lzDthZwAAAAJ:4DMP91E08xMC</t>
  </si>
  <si>
    <t>https://scholar.google.com/citations?view_op=view_citation&amp;hl=id&amp;user=lzDthZwAAAAJ&amp;cstart=20&amp;pagesize=80&amp;citation_for_view=lzDthZwAAAAJ:qxL8FJ1GzNcC</t>
  </si>
  <si>
    <t>https://scholar.google.com/citations?view_op=view_citation&amp;hl=id&amp;user=lzDthZwAAAAJ&amp;cstart=20&amp;pagesize=80&amp;citation_for_view=lzDthZwAAAAJ:9ZlFYXVOiuMC</t>
  </si>
  <si>
    <t>https://scholar.google.com/citations?view_op=view_citation&amp;hl=id&amp;user=lzDthZwAAAAJ&amp;cstart=20&amp;pagesize=80&amp;citation_for_view=lzDthZwAAAAJ:4JMBOYKVnBMC</t>
  </si>
  <si>
    <t>https://scholar.google.com/citations?view_op=view_citation&amp;hl=id&amp;user=lzDthZwAAAAJ&amp;cstart=20&amp;pagesize=80&amp;citation_for_view=lzDthZwAAAAJ:YFjsv_pBGBYC</t>
  </si>
  <si>
    <t>https://scholar.google.com/citations?view_op=view_citation&amp;hl=id&amp;user=lzDthZwAAAAJ&amp;cstart=20&amp;pagesize=80&amp;citation_for_view=lzDthZwAAAAJ:hMod-77fHWUC</t>
  </si>
  <si>
    <t>https://scholar.google.com/citations?view_op=view_citation&amp;hl=id&amp;user=lzDthZwAAAAJ&amp;cstart=20&amp;pagesize=80&amp;citation_for_view=lzDthZwAAAAJ:k_IJM867U9cC</t>
  </si>
  <si>
    <t>https://scholar.google.com/citations?view_op=view_citation&amp;hl=id&amp;user=lzDthZwAAAAJ&amp;cstart=20&amp;pagesize=80&amp;citation_for_view=lzDthZwAAAAJ:blknAaTinKkC</t>
  </si>
  <si>
    <t>https://scholar.google.com/citations?view_op=view_citation&amp;hl=id&amp;user=lzDthZwAAAAJ&amp;cstart=20&amp;pagesize=80&amp;citation_for_view=lzDthZwAAAAJ:JV2RwH3_ST0C</t>
  </si>
  <si>
    <t>https://scholar.google.com/citations?view_op=view_citation&amp;hl=id&amp;user=lzDthZwAAAAJ&amp;cstart=20&amp;pagesize=80&amp;citation_for_view=lzDthZwAAAAJ:R3hNpaxXUhUC</t>
  </si>
  <si>
    <t>https://scholar.google.com/citations?view_op=view_citation&amp;hl=id&amp;user=lzDthZwAAAAJ&amp;cstart=20&amp;pagesize=80&amp;citation_for_view=lzDthZwAAAAJ:HDshCWvjkbEC</t>
  </si>
  <si>
    <t>https://scholar.google.com/citations?view_op=view_citation&amp;hl=id&amp;user=lzDthZwAAAAJ&amp;cstart=20&amp;pagesize=80&amp;citation_for_view=lzDthZwAAAAJ:_Qo2XoVZTnwC</t>
  </si>
  <si>
    <t>https://scholar.google.com/citations?view_op=view_citation&amp;hl=id&amp;user=lzDthZwAAAAJ&amp;cstart=20&amp;pagesize=80&amp;citation_for_view=lzDthZwAAAAJ:Wp0gIr-vW9MC</t>
  </si>
  <si>
    <t>https://scholar.google.com/citations?view_op=view_citation&amp;hl=id&amp;user=lzDthZwAAAAJ&amp;cstart=20&amp;pagesize=80&amp;citation_for_view=lzDthZwAAAAJ:bEWYMUwI8FkC</t>
  </si>
  <si>
    <t>https://scholar.google.com/citations?view_op=view_citation&amp;hl=id&amp;user=lzDthZwAAAAJ&amp;cstart=20&amp;pagesize=80&amp;citation_for_view=lzDthZwAAAAJ:L8Ckcad2t8MC</t>
  </si>
  <si>
    <t>https://scholar.google.com/citations?view_op=view_citation&amp;hl=id&amp;user=lzDthZwAAAAJ&amp;cstart=20&amp;pagesize=80&amp;citation_for_view=lzDthZwAAAAJ:YOwf2qJgpHMC</t>
  </si>
  <si>
    <t>https://scholar.google.com/citations?view_op=view_citation&amp;hl=id&amp;user=lzDthZwAAAAJ&amp;cstart=20&amp;pagesize=80&amp;citation_for_view=lzDthZwAAAAJ:ULOm3_A8WrAC</t>
  </si>
  <si>
    <t>https://scholar.google.com/citations?view_op=view_citation&amp;hl=id&amp;user=lzDthZwAAAAJ&amp;cstart=20&amp;pagesize=80&amp;citation_for_view=lzDthZwAAAAJ:mVmsd5A6BfQC</t>
  </si>
  <si>
    <t>https://scholar.google.com/citations?view_op=view_citation&amp;hl=id&amp;user=2kR7e3UAAAAJ&amp;citation_for_view=2kR7e3UAAAAJ:W7OEmFMy1HYC</t>
  </si>
  <si>
    <t>https://scholar.google.com/citations?view_op=view_citation&amp;hl=id&amp;user=2kR7e3UAAAAJ&amp;citation_for_view=2kR7e3UAAAAJ:d1gkVwhDpl0C</t>
  </si>
  <si>
    <t>https://scholar.google.com/citations?view_op=view_citation&amp;hl=id&amp;user=2kR7e3UAAAAJ&amp;citation_for_view=2kR7e3UAAAAJ:eQOLeE2rZwMC</t>
  </si>
  <si>
    <t>https://scholar.google.com/citations?view_op=view_citation&amp;hl=id&amp;user=2kR7e3UAAAAJ&amp;citation_for_view=2kR7e3UAAAAJ:YsMSGLbcyi4C</t>
  </si>
  <si>
    <t>https://scholar.google.com/citations?view_op=view_citation&amp;hl=id&amp;user=2kR7e3UAAAAJ&amp;citation_for_view=2kR7e3UAAAAJ:zYLM7Y9cAGgC</t>
  </si>
  <si>
    <t>https://scholar.google.com/citations?view_op=view_citation&amp;hl=id&amp;user=2kR7e3UAAAAJ&amp;citation_for_view=2kR7e3UAAAAJ:UeHWp8X0CEIC</t>
  </si>
  <si>
    <t>https://scholar.google.com/citations?view_op=view_citation&amp;hl=id&amp;user=2kR7e3UAAAAJ&amp;citation_for_view=2kR7e3UAAAAJ:u-x6o8ySG0sC</t>
  </si>
  <si>
    <t>https://scholar.google.com/citations?view_op=view_citation&amp;hl=id&amp;user=2kR7e3UAAAAJ&amp;citation_for_view=2kR7e3UAAAAJ:ufrVoPGSRksC</t>
  </si>
  <si>
    <t>https://scholar.google.com/citations?view_op=view_citation&amp;hl=id&amp;user=2kR7e3UAAAAJ&amp;citation_for_view=2kR7e3UAAAAJ:qjMakFHDy7sC</t>
  </si>
  <si>
    <t>https://scholar.google.com/citations?view_op=view_citation&amp;hl=id&amp;user=2kR7e3UAAAAJ&amp;citation_for_view=2kR7e3UAAAAJ:Zph67rFs4hoC</t>
  </si>
  <si>
    <t>https://scholar.google.com/citations?view_op=view_citation&amp;hl=id&amp;user=2kR7e3UAAAAJ&amp;citation_for_view=2kR7e3UAAAAJ:8k81kl-MbHgC</t>
  </si>
  <si>
    <t>https://scholar.google.com/citations?view_op=view_citation&amp;hl=id&amp;user=2kR7e3UAAAAJ&amp;citation_for_view=2kR7e3UAAAAJ:5nxA0vEk-isC</t>
  </si>
  <si>
    <t>https://scholar.google.com/citations?view_op=view_citation&amp;hl=id&amp;user=2kR7e3UAAAAJ&amp;citation_for_view=2kR7e3UAAAAJ:0EnyYjriUFMC</t>
  </si>
  <si>
    <t>https://scholar.google.com/citations?view_op=view_citation&amp;hl=id&amp;user=2kR7e3UAAAAJ&amp;citation_for_view=2kR7e3UAAAAJ:KlAtU1dfN6UC</t>
  </si>
  <si>
    <t>https://scholar.google.com/citations?view_op=view_citation&amp;hl=id&amp;user=2kR7e3UAAAAJ&amp;citation_for_view=2kR7e3UAAAAJ:kNdYIx-mwKoC</t>
  </si>
  <si>
    <t>https://scholar.google.com/citations?view_op=view_citation&amp;hl=id&amp;user=2kR7e3UAAAAJ&amp;citation_for_view=2kR7e3UAAAAJ:3fE2CSJIrl8C</t>
  </si>
  <si>
    <t>https://scholar.google.com/citations?view_op=view_citation&amp;hl=id&amp;user=2kR7e3UAAAAJ&amp;citation_for_view=2kR7e3UAAAAJ:MXK_kJrjxJIC</t>
  </si>
  <si>
    <t>https://scholar.google.com/citations?view_op=view_citation&amp;hl=id&amp;user=2kR7e3UAAAAJ&amp;citation_for_view=2kR7e3UAAAAJ:WF5omc3nYNoC</t>
  </si>
  <si>
    <t>https://scholar.google.com/citations?view_op=view_citation&amp;hl=id&amp;user=2kR7e3UAAAAJ&amp;citation_for_view=2kR7e3UAAAAJ:hqOjcs7Dif8C</t>
  </si>
  <si>
    <t>https://scholar.google.com/citations?view_op=view_citation&amp;hl=id&amp;user=2kR7e3UAAAAJ&amp;cstart=20&amp;pagesize=80&amp;citation_for_view=2kR7e3UAAAAJ:UebtZRa9Y70C</t>
  </si>
  <si>
    <t>https://scholar.google.com/citations?view_op=view_citation&amp;hl=id&amp;user=2kR7e3UAAAAJ&amp;cstart=20&amp;pagesize=80&amp;citation_for_view=2kR7e3UAAAAJ:roLk4NBRz8UC</t>
  </si>
  <si>
    <t>https://scholar.google.com/citations?view_op=view_citation&amp;hl=id&amp;user=2kR7e3UAAAAJ&amp;cstart=20&amp;pagesize=80&amp;citation_for_view=2kR7e3UAAAAJ:LkGwnXOMwfcC</t>
  </si>
  <si>
    <t>https://scholar.google.com/citations?view_op=view_citation&amp;hl=id&amp;user=2kR7e3UAAAAJ&amp;cstart=20&amp;pagesize=80&amp;citation_for_view=2kR7e3UAAAAJ:_FxGoFyzp5QC</t>
  </si>
  <si>
    <t>https://scholar.google.com/citations?view_op=view_citation&amp;hl=id&amp;user=2kR7e3UAAAAJ&amp;cstart=20&amp;pagesize=80&amp;citation_for_view=2kR7e3UAAAAJ:Se3iqnhoufwC</t>
  </si>
  <si>
    <t>https://scholar.google.com/citations?view_op=view_citation&amp;hl=id&amp;user=2kR7e3UAAAAJ&amp;cstart=20&amp;pagesize=80&amp;citation_for_view=2kR7e3UAAAAJ:2osOgNQ5qMEC</t>
  </si>
  <si>
    <t>https://scholar.google.com/citations?view_op=view_citation&amp;hl=id&amp;user=2kR7e3UAAAAJ&amp;cstart=20&amp;pagesize=80&amp;citation_for_view=2kR7e3UAAAAJ:Y0pCki6q_DkC</t>
  </si>
  <si>
    <t>https://scholar.google.com/citations?view_op=view_citation&amp;hl=id&amp;user=2kR7e3UAAAAJ&amp;cstart=20&amp;pagesize=80&amp;citation_for_view=2kR7e3UAAAAJ:Tyk-4Ss8FVUC</t>
  </si>
  <si>
    <t>https://scholar.google.com/citations?view_op=view_citation&amp;hl=id&amp;user=2kR7e3UAAAAJ&amp;cstart=20&amp;pagesize=80&amp;citation_for_view=2kR7e3UAAAAJ:9yKSN-GCB0IC</t>
  </si>
  <si>
    <t>https://scholar.google.com/citations?view_op=view_citation&amp;hl=id&amp;user=sx17Ot8AAAAJ&amp;citation_for_view=sx17Ot8AAAAJ:9yKSN-GCB0IC</t>
  </si>
  <si>
    <t>https://scholar.google.com/citations?view_op=view_citation&amp;hl=id&amp;user=sx17Ot8AAAAJ&amp;citation_for_view=sx17Ot8AAAAJ:roLk4NBRz8UC</t>
  </si>
  <si>
    <t>https://scholar.google.com/citations?view_op=view_citation&amp;hl=id&amp;user=sx17Ot8AAAAJ&amp;citation_for_view=sx17Ot8AAAAJ:ufrVoPGSRksC</t>
  </si>
  <si>
    <t>https://scholar.google.com/citations?view_op=view_citation&amp;hl=id&amp;user=sx17Ot8AAAAJ&amp;citation_for_view=sx17Ot8AAAAJ:eQOLeE2rZwMC</t>
  </si>
  <si>
    <t>https://scholar.google.com/citations?view_op=view_citation&amp;hl=id&amp;user=sx17Ot8AAAAJ&amp;citation_for_view=sx17Ot8AAAAJ:_kc_bZDykSQC</t>
  </si>
  <si>
    <t>https://scholar.google.com/citations?view_op=view_citation&amp;hl=id&amp;user=sx17Ot8AAAAJ&amp;citation_for_view=sx17Ot8AAAAJ:0EnyYjriUFMC</t>
  </si>
  <si>
    <t>https://scholar.google.com/citations?view_op=view_citation&amp;hl=id&amp;user=sx17Ot8AAAAJ&amp;citation_for_view=sx17Ot8AAAAJ:LkGwnXOMwfcC</t>
  </si>
  <si>
    <t>https://scholar.google.com/citations?view_op=view_citation&amp;hl=id&amp;user=sx17Ot8AAAAJ&amp;citation_for_view=sx17Ot8AAAAJ:KlAtU1dfN6UC</t>
  </si>
  <si>
    <t>https://scholar.google.com/citations?view_op=view_citation&amp;hl=id&amp;user=sx17Ot8AAAAJ&amp;citation_for_view=sx17Ot8AAAAJ:kNdYIx-mwKoC</t>
  </si>
  <si>
    <t>https://scholar.google.com/citations?view_op=view_citation&amp;hl=id&amp;user=sx17Ot8AAAAJ&amp;citation_for_view=sx17Ot8AAAAJ:qjMakFHDy7sC</t>
  </si>
  <si>
    <t>https://scholar.google.com/citations?view_op=view_citation&amp;hl=id&amp;user=sx17Ot8AAAAJ&amp;citation_for_view=sx17Ot8AAAAJ:Tyk-4Ss8FVUC</t>
  </si>
  <si>
    <t>https://scholar.google.com/citations?view_op=view_citation&amp;hl=id&amp;user=sx17Ot8AAAAJ&amp;citation_for_view=sx17Ot8AAAAJ:4TOpqqG69KYC</t>
  </si>
  <si>
    <t>https://scholar.google.com/citations?view_op=view_citation&amp;hl=id&amp;user=sx17Ot8AAAAJ&amp;citation_for_view=sx17Ot8AAAAJ:Se3iqnhoufwC</t>
  </si>
  <si>
    <t>https://scholar.google.com/citations?view_op=view_citation&amp;hl=id&amp;user=sx17Ot8AAAAJ&amp;citation_for_view=sx17Ot8AAAAJ:zYLM7Y9cAGgC</t>
  </si>
  <si>
    <t>https://scholar.google.com/citations?view_op=view_citation&amp;hl=id&amp;user=sx17Ot8AAAAJ&amp;citation_for_view=sx17Ot8AAAAJ:9ZlFYXVOiuMC</t>
  </si>
  <si>
    <t>https://scholar.google.com/citations?view_op=view_citation&amp;hl=id&amp;user=sx17Ot8AAAAJ&amp;citation_for_view=sx17Ot8AAAAJ:aqlVkmm33-oC</t>
  </si>
  <si>
    <t>https://scholar.google.com/citations?view_op=view_citation&amp;hl=id&amp;user=sx17Ot8AAAAJ&amp;citation_for_view=sx17Ot8AAAAJ:M3ejUd6NZC8C</t>
  </si>
  <si>
    <t>https://scholar.google.com/citations?view_op=view_citation&amp;hl=id&amp;user=sx17Ot8AAAAJ&amp;citation_for_view=sx17Ot8AAAAJ:mVmsd5A6BfQC</t>
  </si>
  <si>
    <t>https://scholar.google.com/citations?view_op=view_citation&amp;hl=id&amp;user=sx17Ot8AAAAJ&amp;citation_for_view=sx17Ot8AAAAJ:Wp0gIr-vW9MC</t>
  </si>
  <si>
    <t>https://scholar.google.com/citations?view_op=view_citation&amp;hl=id&amp;user=sx17Ot8AAAAJ&amp;cstart=20&amp;pagesize=80&amp;citation_for_view=sx17Ot8AAAAJ:4DMP91E08xMC</t>
  </si>
  <si>
    <t>https://scholar.google.com/citations?view_op=view_citation&amp;hl=id&amp;user=sx17Ot8AAAAJ&amp;cstart=20&amp;pagesize=80&amp;citation_for_view=sx17Ot8AAAAJ:7PzlFSSx8tAC</t>
  </si>
  <si>
    <t>https://scholar.google.com/citations?view_op=view_citation&amp;hl=id&amp;user=sx17Ot8AAAAJ&amp;cstart=20&amp;pagesize=80&amp;citation_for_view=sx17Ot8AAAAJ:ULOm3_A8WrAC</t>
  </si>
  <si>
    <t>https://scholar.google.com/citations?view_op=view_citation&amp;hl=id&amp;user=sx17Ot8AAAAJ&amp;cstart=20&amp;pagesize=80&amp;citation_for_view=sx17Ot8AAAAJ:8k81kl-MbHgC</t>
  </si>
  <si>
    <t>https://scholar.google.com/citations?view_op=view_citation&amp;hl=id&amp;user=sx17Ot8AAAAJ&amp;cstart=20&amp;pagesize=80&amp;citation_for_view=sx17Ot8AAAAJ:qxL8FJ1GzNcC</t>
  </si>
  <si>
    <t>https://scholar.google.com/citations?view_op=view_citation&amp;hl=id&amp;user=sx17Ot8AAAAJ&amp;cstart=20&amp;pagesize=80&amp;citation_for_view=sx17Ot8AAAAJ:3fE2CSJIrl8C</t>
  </si>
  <si>
    <t>https://scholar.google.com/citations?view_op=view_citation&amp;hl=id&amp;user=sx17Ot8AAAAJ&amp;cstart=20&amp;pagesize=80&amp;citation_for_view=sx17Ot8AAAAJ:hqOjcs7Dif8C</t>
  </si>
  <si>
    <t>https://scholar.google.com/citations?view_op=view_citation&amp;hl=id&amp;user=sx17Ot8AAAAJ&amp;cstart=20&amp;pagesize=80&amp;citation_for_view=sx17Ot8AAAAJ:YOwf2qJgpHMC</t>
  </si>
  <si>
    <t>https://scholar.google.com/citations?view_op=view_citation&amp;hl=id&amp;user=sx17Ot8AAAAJ&amp;cstart=20&amp;pagesize=80&amp;citation_for_view=sx17Ot8AAAAJ:5nxA0vEk-isC</t>
  </si>
  <si>
    <t>https://scholar.google.com/citations?view_op=view_citation&amp;hl=id&amp;user=sx17Ot8AAAAJ&amp;cstart=20&amp;pagesize=80&amp;citation_for_view=sx17Ot8AAAAJ:_FxGoFyzp5QC</t>
  </si>
  <si>
    <t>https://scholar.google.com/citations?view_op=view_citation&amp;hl=id&amp;user=sx17Ot8AAAAJ&amp;cstart=20&amp;pagesize=80&amp;citation_for_view=sx17Ot8AAAAJ:Y0pCki6q_DkC</t>
  </si>
  <si>
    <t>https://scholar.google.com/citations?view_op=view_citation&amp;hl=id&amp;user=sx17Ot8AAAAJ&amp;cstart=20&amp;pagesize=80&amp;citation_for_view=sx17Ot8AAAAJ:IjCSPb-OGe4C</t>
  </si>
  <si>
    <t>https://scholar.google.com/citations?view_op=view_citation&amp;hl=id&amp;user=sx17Ot8AAAAJ&amp;cstart=20&amp;pagesize=80&amp;citation_for_view=sx17Ot8AAAAJ:UeHWp8X0CEIC</t>
  </si>
  <si>
    <t>https://scholar.google.com/citations?view_op=view_citation&amp;hl=id&amp;user=UR3xdmgAAAAJ&amp;citation_for_view=UR3xdmgAAAAJ:zYLM7Y9cAGgC</t>
  </si>
  <si>
    <t>https://scholar.google.com/citations?view_op=view_citation&amp;hl=id&amp;user=UR3xdmgAAAAJ&amp;citation_for_view=UR3xdmgAAAAJ:Zph67rFs4hoC</t>
  </si>
  <si>
    <t>https://scholar.google.com/citations?view_op=view_citation&amp;hl=id&amp;user=UR3xdmgAAAAJ&amp;citation_for_view=UR3xdmgAAAAJ:MXK_kJrjxJIC</t>
  </si>
  <si>
    <t>https://scholar.google.com/citations?view_op=view_citation&amp;hl=id&amp;user=UR3xdmgAAAAJ&amp;citation_for_view=UR3xdmgAAAAJ:2osOgNQ5qMEC</t>
  </si>
  <si>
    <t>https://scholar.google.com/citations?view_op=view_citation&amp;hl=id&amp;user=UR3xdmgAAAAJ&amp;citation_for_view=UR3xdmgAAAAJ:UebtZRa9Y70C</t>
  </si>
  <si>
    <t>https://scholar.google.com/citations?view_op=view_citation&amp;hl=id&amp;user=UR3xdmgAAAAJ&amp;citation_for_view=UR3xdmgAAAAJ:YOwf2qJgpHMC</t>
  </si>
  <si>
    <t>https://scholar.google.com/citations?view_op=view_citation&amp;hl=id&amp;user=UR3xdmgAAAAJ&amp;citation_for_view=UR3xdmgAAAAJ:qxL8FJ1GzNcC</t>
  </si>
  <si>
    <t>https://scholar.google.com/citations?view_op=view_citation&amp;hl=id&amp;user=UR3xdmgAAAAJ&amp;citation_for_view=UR3xdmgAAAAJ:9ZlFYXVOiuMC</t>
  </si>
  <si>
    <t>https://scholar.google.com/citations?view_op=view_citation&amp;hl=id&amp;user=UR3xdmgAAAAJ&amp;citation_for_view=UR3xdmgAAAAJ:KlAtU1dfN6UC</t>
  </si>
  <si>
    <t>https://scholar.google.com/citations?view_op=view_citation&amp;hl=id&amp;user=UR3xdmgAAAAJ&amp;citation_for_view=UR3xdmgAAAAJ:UeHWp8X0CEIC</t>
  </si>
  <si>
    <t>https://scholar.google.com/citations?view_op=view_citation&amp;hl=id&amp;user=UR3xdmgAAAAJ&amp;citation_for_view=UR3xdmgAAAAJ:HDshCWvjkbEC</t>
  </si>
  <si>
    <t>https://scholar.google.com/citations?view_op=view_citation&amp;hl=id&amp;user=UR3xdmgAAAAJ&amp;citation_for_view=UR3xdmgAAAAJ:ZeXyd9-uunAC</t>
  </si>
  <si>
    <t>https://scholar.google.com/citations?view_op=view_citation&amp;hl=id&amp;user=UR3xdmgAAAAJ&amp;cstart=20&amp;pagesize=80&amp;citation_for_view=UR3xdmgAAAAJ:dhFuZR0502QC</t>
  </si>
  <si>
    <t>https://scholar.google.com/citations?view_op=view_citation&amp;hl=id&amp;user=UR3xdmgAAAAJ&amp;cstart=20&amp;pagesize=80&amp;citation_for_view=UR3xdmgAAAAJ:d1gkVwhDpl0C</t>
  </si>
  <si>
    <t>https://scholar.google.com/citations?view_op=view_citation&amp;hl=id&amp;user=UR3xdmgAAAAJ&amp;cstart=20&amp;pagesize=80&amp;citation_for_view=UR3xdmgAAAAJ:kNdYIx-mwKoC</t>
  </si>
  <si>
    <t>https://scholar.google.com/citations?view_op=view_citation&amp;hl=id&amp;user=UR3xdmgAAAAJ&amp;cstart=20&amp;pagesize=80&amp;citation_for_view=UR3xdmgAAAAJ:9yKSN-GCB0IC</t>
  </si>
  <si>
    <t>https://scholar.google.com/citations?view_op=view_citation&amp;hl=id&amp;user=UR3xdmgAAAAJ&amp;cstart=20&amp;pagesize=80&amp;citation_for_view=UR3xdmgAAAAJ:R3hNpaxXUhUC</t>
  </si>
  <si>
    <t>https://scholar.google.com/citations?view_op=view_citation&amp;hl=id&amp;user=UR3xdmgAAAAJ&amp;cstart=20&amp;pagesize=80&amp;citation_for_view=UR3xdmgAAAAJ:_kc_bZDykSQC</t>
  </si>
  <si>
    <t>https://scholar.google.com/citations?view_op=view_citation&amp;hl=id&amp;user=UR3xdmgAAAAJ&amp;cstart=20&amp;pagesize=80&amp;citation_for_view=UR3xdmgAAAAJ:LkGwnXOMwfcC</t>
  </si>
  <si>
    <t>https://scholar.google.com/citations?view_op=view_citation&amp;hl=id&amp;user=UR3xdmgAAAAJ&amp;cstart=20&amp;pagesize=80&amp;citation_for_view=UR3xdmgAAAAJ:M3ejUd6NZC8C</t>
  </si>
  <si>
    <t>https://scholar.google.com/citations?view_op=view_citation&amp;hl=id&amp;user=UR3xdmgAAAAJ&amp;cstart=20&amp;pagesize=80&amp;citation_for_view=UR3xdmgAAAAJ:TQgYirikUcIC</t>
  </si>
  <si>
    <t>https://scholar.google.com/citations?view_op=view_citation&amp;hl=id&amp;user=UR3xdmgAAAAJ&amp;cstart=20&amp;pagesize=80&amp;citation_for_view=UR3xdmgAAAAJ:Wp0gIr-vW9MC</t>
  </si>
  <si>
    <t>https://scholar.google.com/citations?view_op=view_citation&amp;hl=id&amp;user=UR3xdmgAAAAJ&amp;cstart=20&amp;pagesize=80&amp;citation_for_view=UR3xdmgAAAAJ:7PzlFSSx8tAC</t>
  </si>
  <si>
    <t>https://scholar.google.com/citations?view_op=view_citation&amp;hl=id&amp;user=UR3xdmgAAAAJ&amp;cstart=20&amp;pagesize=80&amp;citation_for_view=UR3xdmgAAAAJ:aqlVkmm33-oC</t>
  </si>
  <si>
    <t>https://scholar.google.com/citations?view_op=view_citation&amp;hl=id&amp;user=UR3xdmgAAAAJ&amp;cstart=20&amp;pagesize=80&amp;citation_for_view=UR3xdmgAAAAJ:4TOpqqG69KYC</t>
  </si>
  <si>
    <t>https://scholar.google.com/citations?view_op=view_citation&amp;hl=id&amp;user=UR3xdmgAAAAJ&amp;cstart=20&amp;pagesize=80&amp;citation_for_view=UR3xdmgAAAAJ:mVmsd5A6BfQC</t>
  </si>
  <si>
    <t>https://scholar.google.com/citations?view_op=view_citation&amp;hl=id&amp;user=UR3xdmgAAAAJ&amp;cstart=20&amp;pagesize=80&amp;citation_for_view=UR3xdmgAAAAJ:QIV2ME_5wuYC</t>
  </si>
  <si>
    <t>https://scholar.google.com/citations?view_op=view_citation&amp;hl=id&amp;user=UR3xdmgAAAAJ&amp;cstart=20&amp;pagesize=80&amp;citation_for_view=UR3xdmgAAAAJ:Y0pCki6q_DkC</t>
  </si>
  <si>
    <t>https://scholar.google.com/citations?view_op=view_citation&amp;hl=id&amp;user=UR3xdmgAAAAJ&amp;cstart=20&amp;pagesize=80&amp;citation_for_view=UR3xdmgAAAAJ:eQOLeE2rZwMC</t>
  </si>
  <si>
    <t>https://scholar.google.com/citations?view_op=view_citation&amp;hl=id&amp;user=UR3xdmgAAAAJ&amp;cstart=20&amp;pagesize=80&amp;citation_for_view=UR3xdmgAAAAJ:j3f4tGmQtD8C</t>
  </si>
  <si>
    <t>https://scholar.google.com/citations?view_op=view_citation&amp;hl=id&amp;user=UR3xdmgAAAAJ&amp;cstart=20&amp;pagesize=80&amp;citation_for_view=UR3xdmgAAAAJ:r0BpntZqJG4C</t>
  </si>
  <si>
    <t>https://scholar.google.com/citations?view_op=view_citation&amp;hl=id&amp;user=UR3xdmgAAAAJ&amp;cstart=20&amp;pagesize=80&amp;citation_for_view=UR3xdmgAAAAJ:RHpTSmoSYBkC</t>
  </si>
  <si>
    <t>https://scholar.google.com/citations?view_op=view_citation&amp;hl=id&amp;user=UR3xdmgAAAAJ&amp;cstart=20&amp;pagesize=80&amp;citation_for_view=UR3xdmgAAAAJ:e5wmG9Sq2KIC</t>
  </si>
  <si>
    <t>https://scholar.google.com/citations?view_op=view_citation&amp;hl=id&amp;user=UR3xdmgAAAAJ&amp;cstart=20&amp;pagesize=80&amp;citation_for_view=UR3xdmgAAAAJ:4JMBOYKVnBMC</t>
  </si>
  <si>
    <t>https://scholar.google.com/citations?view_op=view_citation&amp;hl=id&amp;user=UR3xdmgAAAAJ&amp;cstart=20&amp;pagesize=80&amp;citation_for_view=UR3xdmgAAAAJ:mB3voiENLucC</t>
  </si>
  <si>
    <t>https://scholar.google.com/citations?view_op=view_citation&amp;hl=id&amp;user=UR3xdmgAAAAJ&amp;cstart=20&amp;pagesize=80&amp;citation_for_view=UR3xdmgAAAAJ:hFOr9nPyWt4C</t>
  </si>
  <si>
    <t>https://scholar.google.com/citations?view_op=view_citation&amp;hl=id&amp;user=UR3xdmgAAAAJ&amp;cstart=20&amp;pagesize=80&amp;citation_for_view=UR3xdmgAAAAJ:-f6ydRqryjwC</t>
  </si>
  <si>
    <t>https://scholar.google.com/citations?view_op=view_citation&amp;hl=id&amp;user=UR3xdmgAAAAJ&amp;cstart=20&amp;pagesize=80&amp;citation_for_view=UR3xdmgAAAAJ:Se3iqnhoufwC</t>
  </si>
  <si>
    <t>https://scholar.google.com/citations?view_op=view_citation&amp;hl=id&amp;user=UR3xdmgAAAAJ&amp;cstart=20&amp;pagesize=80&amp;citation_for_view=UR3xdmgAAAAJ:qjMakFHDy7sC</t>
  </si>
  <si>
    <t>https://scholar.google.com/citations?view_op=view_citation&amp;hl=id&amp;user=UR3xdmgAAAAJ&amp;cstart=20&amp;pagesize=80&amp;citation_for_view=UR3xdmgAAAAJ:0EnyYjriUFMC</t>
  </si>
  <si>
    <t>https://scholar.google.com/citations?view_op=view_citation&amp;hl=id&amp;user=jkzdW3oAAAAJ&amp;citation_for_view=jkzdW3oAAAAJ:BqipwSGYUEgC</t>
  </si>
  <si>
    <t>https://scholar.google.com/citations?view_op=view_citation&amp;hl=id&amp;user=jkzdW3oAAAAJ&amp;citation_for_view=jkzdW3oAAAAJ:4JMBOYKVnBMC</t>
  </si>
  <si>
    <t>https://scholar.google.com/citations?view_op=view_citation&amp;hl=id&amp;user=jkzdW3oAAAAJ&amp;citation_for_view=jkzdW3oAAAAJ:qxL8FJ1GzNcC</t>
  </si>
  <si>
    <t>https://scholar.google.com/citations?view_op=view_citation&amp;hl=id&amp;user=jkzdW3oAAAAJ&amp;citation_for_view=jkzdW3oAAAAJ:blknAaTinKkC</t>
  </si>
  <si>
    <t>https://scholar.google.com/citations?view_op=view_citation&amp;hl=id&amp;user=jkzdW3oAAAAJ&amp;citation_for_view=jkzdW3oAAAAJ:iH-uZ7U-co4C</t>
  </si>
  <si>
    <t>https://scholar.google.com/citations?view_op=view_citation&amp;hl=id&amp;user=jkzdW3oAAAAJ&amp;citation_for_view=jkzdW3oAAAAJ:mB3voiENLucC</t>
  </si>
  <si>
    <t>https://scholar.google.com/citations?view_op=view_citation&amp;hl=id&amp;user=jkzdW3oAAAAJ&amp;citation_for_view=jkzdW3oAAAAJ:aqlVkmm33-oC</t>
  </si>
  <si>
    <t>https://scholar.google.com/citations?view_op=view_citation&amp;hl=id&amp;user=jkzdW3oAAAAJ&amp;citation_for_view=jkzdW3oAAAAJ:ULOm3_A8WrAC</t>
  </si>
  <si>
    <t>https://scholar.google.com/citations?view_op=view_citation&amp;hl=id&amp;user=jkzdW3oAAAAJ&amp;citation_for_view=jkzdW3oAAAAJ:mVmsd5A6BfQC</t>
  </si>
  <si>
    <t>https://scholar.google.com/citations?view_op=view_citation&amp;hl=id&amp;user=jkzdW3oAAAAJ&amp;citation_for_view=jkzdW3oAAAAJ:maZDTaKrznsC</t>
  </si>
  <si>
    <t>https://scholar.google.com/citations?view_op=view_citation&amp;hl=id&amp;user=jkzdW3oAAAAJ&amp;citation_for_view=jkzdW3oAAAAJ:9ZlFYXVOiuMC</t>
  </si>
  <si>
    <t>https://scholar.google.com/citations?view_op=view_citation&amp;hl=id&amp;user=jkzdW3oAAAAJ&amp;citation_for_view=jkzdW3oAAAAJ:YOwf2qJgpHMC</t>
  </si>
  <si>
    <t>https://scholar.google.com/citations?view_op=view_citation&amp;hl=id&amp;user=jkzdW3oAAAAJ&amp;citation_for_view=jkzdW3oAAAAJ:M3ejUd6NZC8C</t>
  </si>
  <si>
    <t>https://scholar.google.com/citations?view_op=view_citation&amp;hl=id&amp;user=jkzdW3oAAAAJ&amp;citation_for_view=jkzdW3oAAAAJ:bEWYMUwI8FkC</t>
  </si>
  <si>
    <t>https://scholar.google.com/citations?view_op=view_citation&amp;hl=id&amp;user=jkzdW3oAAAAJ&amp;citation_for_view=jkzdW3oAAAAJ:_Qo2XoVZTnwC</t>
  </si>
  <si>
    <t>https://scholar.google.com/citations?view_op=view_citation&amp;hl=id&amp;user=jkzdW3oAAAAJ&amp;citation_for_view=jkzdW3oAAAAJ:4TOpqqG69KYC</t>
  </si>
  <si>
    <t>https://scholar.google.com/citations?view_op=view_citation&amp;hl=id&amp;user=jkzdW3oAAAAJ&amp;citation_for_view=jkzdW3oAAAAJ:hFOr9nPyWt4C</t>
  </si>
  <si>
    <t>https://scholar.google.com/citations?view_op=view_citation&amp;hl=id&amp;user=DalN47AAAAAJ&amp;citation_for_view=DalN47AAAAAJ:j3f4tGmQtD8C</t>
  </si>
  <si>
    <t>https://scholar.google.com/citations?view_op=view_citation&amp;hl=id&amp;user=DalN47AAAAAJ&amp;citation_for_view=DalN47AAAAAJ:4JMBOYKVnBMC</t>
  </si>
  <si>
    <t>https://scholar.google.com/citations?view_op=view_citation&amp;hl=id&amp;user=DalN47AAAAAJ&amp;citation_for_view=DalN47AAAAAJ:aqlVkmm33-oC</t>
  </si>
  <si>
    <t>https://scholar.google.com/citations?view_op=view_citation&amp;hl=id&amp;user=DalN47AAAAAJ&amp;citation_for_view=DalN47AAAAAJ:M3NEmzRMIkIC</t>
  </si>
  <si>
    <t>https://scholar.google.com/citations?view_op=view_citation&amp;hl=id&amp;user=DalN47AAAAAJ&amp;citation_for_view=DalN47AAAAAJ:e5wmG9Sq2KIC</t>
  </si>
  <si>
    <t>https://scholar.google.com/citations?view_op=view_citation&amp;hl=id&amp;user=DalN47AAAAAJ&amp;citation_for_view=DalN47AAAAAJ:Wp0gIr-vW9MC</t>
  </si>
  <si>
    <t>https://scholar.google.com/citations?view_op=view_citation&amp;hl=id&amp;user=DalN47AAAAAJ&amp;citation_for_view=DalN47AAAAAJ:hFOr9nPyWt4C</t>
  </si>
  <si>
    <t>https://scholar.google.com/citations?view_op=view_citation&amp;hl=id&amp;user=DalN47AAAAAJ&amp;citation_for_view=DalN47AAAAAJ:isC4tDSrTZIC</t>
  </si>
  <si>
    <t>https://scholar.google.com/citations?view_op=view_citation&amp;hl=id&amp;user=DalN47AAAAAJ&amp;citation_for_view=DalN47AAAAAJ:blknAaTinKkC</t>
  </si>
  <si>
    <t>https://scholar.google.com/citations?view_op=view_citation&amp;hl=id&amp;user=DalN47AAAAAJ&amp;citation_for_view=DalN47AAAAAJ:RHpTSmoSYBkC</t>
  </si>
  <si>
    <t>https://scholar.google.com/citations?view_op=view_citation&amp;hl=id&amp;user=DalN47AAAAAJ&amp;citation_for_view=DalN47AAAAAJ:7PzlFSSx8tAC</t>
  </si>
  <si>
    <t>https://scholar.google.com/citations?view_op=view_citation&amp;hl=id&amp;user=DalN47AAAAAJ&amp;citation_for_view=DalN47AAAAAJ:qUcmZB5y_30C</t>
  </si>
  <si>
    <t>https://scholar.google.com/citations?view_op=view_citation&amp;hl=id&amp;user=DalN47AAAAAJ&amp;citation_for_view=DalN47AAAAAJ:M3ejUd6NZC8C</t>
  </si>
  <si>
    <t>https://scholar.google.com/citations?view_op=view_citation&amp;hl=id&amp;user=DalN47AAAAAJ&amp;citation_for_view=DalN47AAAAAJ:qxL8FJ1GzNcC</t>
  </si>
  <si>
    <t>https://scholar.google.com/citations?view_op=view_citation&amp;hl=id&amp;user=DalN47AAAAAJ&amp;cstart=20&amp;pagesize=80&amp;citation_for_view=DalN47AAAAAJ:dhFuZR0502QC</t>
  </si>
  <si>
    <t>https://scholar.google.com/citations?view_op=view_citation&amp;hl=id&amp;user=DalN47AAAAAJ&amp;cstart=20&amp;pagesize=80&amp;citation_for_view=DalN47AAAAAJ:ZeXyd9-uunAC</t>
  </si>
  <si>
    <t>https://scholar.google.com/citations?view_op=view_citation&amp;hl=id&amp;user=DalN47AAAAAJ&amp;cstart=20&amp;pagesize=80&amp;citation_for_view=DalN47AAAAAJ:L8Ckcad2t8MC</t>
  </si>
  <si>
    <t>https://scholar.google.com/citations?view_op=view_citation&amp;hl=id&amp;user=DalN47AAAAAJ&amp;cstart=20&amp;pagesize=80&amp;citation_for_view=DalN47AAAAAJ:bEWYMUwI8FkC</t>
  </si>
  <si>
    <t>https://scholar.google.com/citations?view_op=view_citation&amp;hl=id&amp;user=DalN47AAAAAJ&amp;cstart=20&amp;pagesize=80&amp;citation_for_view=DalN47AAAAAJ:iH-uZ7U-co4C</t>
  </si>
  <si>
    <t>https://scholar.google.com/citations?view_op=view_citation&amp;hl=id&amp;user=DalN47AAAAAJ&amp;cstart=20&amp;pagesize=80&amp;citation_for_view=DalN47AAAAAJ:r0BpntZqJG4C</t>
  </si>
  <si>
    <t>https://scholar.google.com/citations?view_op=view_citation&amp;hl=id&amp;user=DalN47AAAAAJ&amp;cstart=20&amp;pagesize=80&amp;citation_for_view=DalN47AAAAAJ:k_IJM867U9cC</t>
  </si>
  <si>
    <t>https://scholar.google.com/citations?view_op=view_citation&amp;hl=id&amp;user=DalN47AAAAAJ&amp;cstart=20&amp;pagesize=80&amp;citation_for_view=DalN47AAAAAJ:4DMP91E08xMC</t>
  </si>
  <si>
    <t>https://scholar.google.com/citations?view_op=view_citation&amp;hl=id&amp;user=DalN47AAAAAJ&amp;cstart=20&amp;pagesize=80&amp;citation_for_view=DalN47AAAAAJ:-f6ydRqryjwC</t>
  </si>
  <si>
    <t>https://scholar.google.com/citations?view_op=view_citation&amp;hl=id&amp;user=DalN47AAAAAJ&amp;cstart=20&amp;pagesize=80&amp;citation_for_view=DalN47AAAAAJ:_Qo2XoVZTnwC</t>
  </si>
  <si>
    <t>https://scholar.google.com/citations?view_op=view_citation&amp;hl=id&amp;user=DalN47AAAAAJ&amp;cstart=20&amp;pagesize=80&amp;citation_for_view=DalN47AAAAAJ:R3hNpaxXUhUC</t>
  </si>
  <si>
    <t>https://scholar.google.com/citations?view_op=view_citation&amp;hl=id&amp;user=DalN47AAAAAJ&amp;cstart=20&amp;pagesize=80&amp;citation_for_view=DalN47AAAAAJ:TFP_iSt0sucC</t>
  </si>
  <si>
    <t>https://scholar.google.com/citations?view_op=view_citation&amp;hl=id&amp;user=DalN47AAAAAJ&amp;cstart=20&amp;pagesize=80&amp;citation_for_view=DalN47AAAAAJ:hC7cP41nSMkC</t>
  </si>
  <si>
    <t>https://scholar.google.com/citations?view_op=view_citation&amp;hl=id&amp;user=DalN47AAAAAJ&amp;cstart=20&amp;pagesize=80&amp;citation_for_view=DalN47AAAAAJ:IWHjjKOFINEC</t>
  </si>
  <si>
    <t>https://scholar.google.com/citations?view_op=view_citation&amp;hl=id&amp;user=DalN47AAAAAJ&amp;cstart=20&amp;pagesize=80&amp;citation_for_view=DalN47AAAAAJ:mVmsd5A6BfQC</t>
  </si>
  <si>
    <t>https://scholar.google.com/citations?view_op=view_citation&amp;hl=id&amp;user=DalN47AAAAAJ&amp;cstart=20&amp;pagesize=80&amp;citation_for_view=DalN47AAAAAJ:JV2RwH3_ST0C</t>
  </si>
  <si>
    <t>https://scholar.google.com/citations?view_op=view_citation&amp;hl=id&amp;user=DalN47AAAAAJ&amp;cstart=20&amp;pagesize=80&amp;citation_for_view=DalN47AAAAAJ:TQgYirikUcIC</t>
  </si>
  <si>
    <t>https://scholar.google.com/citations?view_op=view_citation&amp;hl=id&amp;user=DalN47AAAAAJ&amp;cstart=20&amp;pagesize=80&amp;citation_for_view=DalN47AAAAAJ:QIV2ME_5wuYC</t>
  </si>
  <si>
    <t>https://scholar.google.com/citations?view_op=view_citation&amp;hl=id&amp;user=DalN47AAAAAJ&amp;cstart=20&amp;pagesize=80&amp;citation_for_view=DalN47AAAAAJ:9ZlFYXVOiuMC</t>
  </si>
  <si>
    <t>https://scholar.google.com/citations?view_op=view_citation&amp;hl=id&amp;user=Em1A_ZYAAAAJ&amp;citation_for_view=Em1A_ZYAAAAJ:NJ774b8OgUMC</t>
  </si>
  <si>
    <t>https://scholar.google.com/citations?view_op=view_citation&amp;hl=id&amp;user=Em1A_ZYAAAAJ&amp;citation_for_view=Em1A_ZYAAAAJ:ye4kPcJQO24C</t>
  </si>
  <si>
    <t>https://scholar.google.com/citations?view_op=view_citation&amp;hl=id&amp;user=Em1A_ZYAAAAJ&amp;citation_for_view=Em1A_ZYAAAAJ:2KloaMYe4IUC</t>
  </si>
  <si>
    <t>https://scholar.google.com/citations?view_op=view_citation&amp;hl=id&amp;user=Em1A_ZYAAAAJ&amp;citation_for_view=Em1A_ZYAAAAJ:tKAzc9rXhukC</t>
  </si>
  <si>
    <t>https://scholar.google.com/citations?view_op=view_citation&amp;hl=id&amp;user=Em1A_ZYAAAAJ&amp;citation_for_view=Em1A_ZYAAAAJ:kzcrU_BdoSEC</t>
  </si>
  <si>
    <t>https://scholar.google.com/citations?view_op=view_citation&amp;hl=id&amp;user=Em1A_ZYAAAAJ&amp;citation_for_view=Em1A_ZYAAAAJ:W5xh706n7nkC</t>
  </si>
  <si>
    <t>https://scholar.google.com/citations?view_op=view_citation&amp;hl=id&amp;user=Em1A_ZYAAAAJ&amp;citation_for_view=Em1A_ZYAAAAJ:dQ2og3OwTAUC</t>
  </si>
  <si>
    <t>https://scholar.google.com/citations?view_op=view_citation&amp;hl=id&amp;user=Em1A_ZYAAAAJ&amp;citation_for_view=Em1A_ZYAAAAJ:ZuybSZzF8UAC</t>
  </si>
  <si>
    <t>https://scholar.google.com/citations?view_op=view_citation&amp;hl=id&amp;user=Em1A_ZYAAAAJ&amp;citation_for_view=Em1A_ZYAAAAJ:N5tVd3kTz84C</t>
  </si>
  <si>
    <t>https://scholar.google.com/citations?view_op=view_citation&amp;hl=id&amp;user=Em1A_ZYAAAAJ&amp;citation_for_view=Em1A_ZYAAAAJ:7T2F9Uy0os0C</t>
  </si>
  <si>
    <t>https://scholar.google.com/citations?view_op=view_citation&amp;hl=id&amp;user=Em1A_ZYAAAAJ&amp;citation_for_view=Em1A_ZYAAAAJ:VL0QpB8kHFEC</t>
  </si>
  <si>
    <t>https://scholar.google.com/citations?view_op=view_citation&amp;hl=id&amp;user=Em1A_ZYAAAAJ&amp;citation_for_view=Em1A_ZYAAAAJ:JoZmwDi-zQgC</t>
  </si>
  <si>
    <t>https://scholar.google.com/citations?view_op=view_citation&amp;hl=id&amp;user=Em1A_ZYAAAAJ&amp;citation_for_view=Em1A_ZYAAAAJ:dTyEYWd-f8wC</t>
  </si>
  <si>
    <t>https://scholar.google.com/citations?view_op=view_citation&amp;hl=id&amp;user=Em1A_ZYAAAAJ&amp;cstart=20&amp;pagesize=80&amp;citation_for_view=Em1A_ZYAAAAJ:j8SEvjWlNXcC</t>
  </si>
  <si>
    <t>https://scholar.google.com/citations?view_op=view_citation&amp;hl=id&amp;user=Em1A_ZYAAAAJ&amp;cstart=20&amp;pagesize=80&amp;citation_for_view=Em1A_ZYAAAAJ:evX43VCCuoAC</t>
  </si>
  <si>
    <t>https://scholar.google.com/citations?view_op=view_citation&amp;hl=id&amp;user=Em1A_ZYAAAAJ&amp;cstart=20&amp;pagesize=80&amp;citation_for_view=Em1A_ZYAAAAJ:_Ybze24A_UAC</t>
  </si>
  <si>
    <t>https://scholar.google.com/citations?view_op=view_citation&amp;hl=id&amp;user=Em1A_ZYAAAAJ&amp;cstart=20&amp;pagesize=80&amp;citation_for_view=Em1A_ZYAAAAJ:PR6Y55bgFSsC</t>
  </si>
  <si>
    <t>https://scholar.google.com/citations?view_op=view_citation&amp;hl=id&amp;user=Em1A_ZYAAAAJ&amp;cstart=20&amp;pagesize=80&amp;citation_for_view=Em1A_ZYAAAAJ:EkHepimYqZsC</t>
  </si>
  <si>
    <t>https://scholar.google.com/citations?view_op=view_citation&amp;hl=id&amp;user=Em1A_ZYAAAAJ&amp;cstart=20&amp;pagesize=80&amp;citation_for_view=Em1A_ZYAAAAJ:VLnqNzywnoUC</t>
  </si>
  <si>
    <t>https://scholar.google.com/citations?view_op=view_citation&amp;hl=id&amp;user=Em1A_ZYAAAAJ&amp;cstart=20&amp;pagesize=80&amp;citation_for_view=Em1A_ZYAAAAJ:t7zJ5fGR-2UC</t>
  </si>
  <si>
    <t>https://scholar.google.com/citations?view_op=view_citation&amp;hl=id&amp;user=Em1A_ZYAAAAJ&amp;cstart=20&amp;pagesize=80&amp;citation_for_view=Em1A_ZYAAAAJ:uLbwQdceFCQC</t>
  </si>
  <si>
    <t>https://scholar.google.com/citations?view_op=view_citation&amp;hl=id&amp;user=Em1A_ZYAAAAJ&amp;cstart=20&amp;pagesize=80&amp;citation_for_view=Em1A_ZYAAAAJ:5awf1xo2G04C</t>
  </si>
  <si>
    <t>https://scholar.google.com/citations?view_op=view_citation&amp;hl=id&amp;user=Em1A_ZYAAAAJ&amp;cstart=20&amp;pagesize=80&amp;citation_for_view=Em1A_ZYAAAAJ:SdhP9T11ey4C</t>
  </si>
  <si>
    <t>https://scholar.google.com/citations?view_op=view_citation&amp;hl=id&amp;user=Em1A_ZYAAAAJ&amp;cstart=20&amp;pagesize=80&amp;citation_for_view=Em1A_ZYAAAAJ:LjlpjdlvIbIC</t>
  </si>
  <si>
    <t>https://scholar.google.com/citations?view_op=view_citation&amp;hl=id&amp;user=Em1A_ZYAAAAJ&amp;cstart=20&amp;pagesize=80&amp;citation_for_view=Em1A_ZYAAAAJ:zLWjf1WUPmwC</t>
  </si>
  <si>
    <t>https://scholar.google.com/citations?view_op=view_citation&amp;hl=id&amp;user=Em1A_ZYAAAAJ&amp;cstart=20&amp;pagesize=80&amp;citation_for_view=Em1A_ZYAAAAJ:yB1At4FlUx8C</t>
  </si>
  <si>
    <t>https://scholar.google.com/citations?view_op=view_citation&amp;hl=id&amp;user=Em1A_ZYAAAAJ&amp;cstart=20&amp;pagesize=80&amp;citation_for_view=Em1A_ZYAAAAJ:9Nmd_mFXekcC</t>
  </si>
  <si>
    <t>https://scholar.google.com/citations?view_op=view_citation&amp;hl=id&amp;user=Em1A_ZYAAAAJ&amp;cstart=20&amp;pagesize=80&amp;citation_for_view=Em1A_ZYAAAAJ:UHK10RUVsp4C</t>
  </si>
  <si>
    <t>https://scholar.google.com/citations?view_op=view_citation&amp;hl=id&amp;user=Em1A_ZYAAAAJ&amp;cstart=20&amp;pagesize=80&amp;citation_for_view=Em1A_ZYAAAAJ:fEOibwPWpKIC</t>
  </si>
  <si>
    <t>https://scholar.google.com/citations?view_op=view_citation&amp;hl=id&amp;user=Em1A_ZYAAAAJ&amp;cstart=20&amp;pagesize=80&amp;citation_for_view=Em1A_ZYAAAAJ:_B80troHkn4C</t>
  </si>
  <si>
    <t>https://scholar.google.com/citations?view_op=view_citation&amp;hl=id&amp;user=Em1A_ZYAAAAJ&amp;cstart=20&amp;pagesize=80&amp;citation_for_view=Em1A_ZYAAAAJ:epqYDVWIO7EC</t>
  </si>
  <si>
    <t>https://scholar.google.com/citations?view_op=view_citation&amp;hl=id&amp;user=Em1A_ZYAAAAJ&amp;cstart=20&amp;pagesize=80&amp;citation_for_view=Em1A_ZYAAAAJ:ipzZ9siozwsC</t>
  </si>
  <si>
    <t>https://scholar.google.com/citations?view_op=view_citation&amp;hl=id&amp;user=Em1A_ZYAAAAJ&amp;cstart=20&amp;pagesize=80&amp;citation_for_view=Em1A_ZYAAAAJ:vDijr-p_gm4C</t>
  </si>
  <si>
    <t>https://scholar.google.com/citations?view_op=view_citation&amp;hl=id&amp;user=Em1A_ZYAAAAJ&amp;cstart=20&amp;pagesize=80&amp;citation_for_view=Em1A_ZYAAAAJ:XD-gHx7UXLsC</t>
  </si>
  <si>
    <t>https://scholar.google.com/citations?view_op=view_citation&amp;hl=id&amp;user=Em1A_ZYAAAAJ&amp;cstart=20&amp;pagesize=80&amp;citation_for_view=Em1A_ZYAAAAJ:nrtMV_XWKgEC</t>
  </si>
  <si>
    <t>https://scholar.google.com/citations?view_op=view_citation&amp;hl=id&amp;user=Em1A_ZYAAAAJ&amp;cstart=20&amp;pagesize=80&amp;citation_for_view=Em1A_ZYAAAAJ:uc_IGeMz5qoC</t>
  </si>
  <si>
    <t>https://scholar.google.com/citations?view_op=view_citation&amp;hl=id&amp;user=Em1A_ZYAAAAJ&amp;cstart=20&amp;pagesize=80&amp;citation_for_view=Em1A_ZYAAAAJ:-_dYPAW6P2MC</t>
  </si>
  <si>
    <t>https://scholar.google.com/citations?view_op=view_citation&amp;hl=id&amp;user=Em1A_ZYAAAAJ&amp;cstart=20&amp;pagesize=80&amp;citation_for_view=Em1A_ZYAAAAJ:35r97b3x0nAC</t>
  </si>
  <si>
    <t>https://scholar.google.com/citations?view_op=view_citation&amp;hl=id&amp;user=Em1A_ZYAAAAJ&amp;cstart=20&amp;pagesize=80&amp;citation_for_view=Em1A_ZYAAAAJ:_Re3VWB3Y0AC</t>
  </si>
  <si>
    <t>https://scholar.google.com/citations?view_op=view_citation&amp;hl=id&amp;user=Em1A_ZYAAAAJ&amp;cstart=20&amp;pagesize=80&amp;citation_for_view=Em1A_ZYAAAAJ:hkOj_22Ku90C</t>
  </si>
  <si>
    <t>https://scholar.google.com/citations?view_op=view_citation&amp;hl=id&amp;user=Em1A_ZYAAAAJ&amp;cstart=20&amp;pagesize=80&amp;citation_for_view=Em1A_ZYAAAAJ:eq2jaN3J8jMC</t>
  </si>
  <si>
    <t>https://scholar.google.com/citations?view_op=view_citation&amp;hl=id&amp;user=Em1A_ZYAAAAJ&amp;cstart=20&amp;pagesize=80&amp;citation_for_view=Em1A_ZYAAAAJ:uJ-U7cs_P_0C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</si>
</sst>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YDATA/Download/publications_comple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ll Publications"/>
      <sheetName val="Summary by Scholar"/>
      <sheetName val="Type Analysis"/>
      <sheetName val="Affandi Faisal Kurniawan"/>
      <sheetName val="Sigit Ristanto"/>
      <sheetName val="Adhi Kusmantoro"/>
      <sheetName val="Irna Farikhah"/>
      <sheetName val="Muhammad Amiruddin"/>
      <sheetName val="Margono"/>
      <sheetName val="Imadudin Harjanto"/>
      <sheetName val="Bambang Hadi Kunaryo"/>
    </sheetNames>
    <sheetDataSet>
      <sheetData sheetId="0">
        <row r="2">
          <cell r="C2" t="str">
            <v>Perencanaan pembangkit listrik tenaga mikro hidro (PLTMH) Jantur Tabalas Kalimantan Timur</v>
          </cell>
          <cell r="D2" t="str">
            <v>S Sukamta, A Kusmantoro</v>
          </cell>
          <cell r="E2" t="str">
            <v>Jurnal Teknik Elektro</v>
          </cell>
          <cell r="F2">
            <v>2013</v>
          </cell>
          <cell r="G2">
            <v>115</v>
          </cell>
          <cell r="H2" t="str">
            <v>National Journal</v>
          </cell>
          <cell r="I2" t="str">
            <v>S2</v>
          </cell>
        </row>
        <row r="3">
          <cell r="C3" t="str">
            <v>Coordinated control of battery energy storage system based on fuzzy logic for microgrid with modified AC coupling configuration</v>
          </cell>
          <cell r="D3" t="str">
            <v>A Kusmantoro</v>
          </cell>
          <cell r="E3" t="str">
            <v>International Journal of Intelligent Engineering and Systems</v>
          </cell>
          <cell r="F3">
            <v>2021</v>
          </cell>
          <cell r="G3">
            <v>19</v>
          </cell>
          <cell r="H3" t="str">
            <v>International Journal</v>
          </cell>
          <cell r="I3" t="str">
            <v>-</v>
          </cell>
        </row>
        <row r="4">
          <cell r="C4" t="str">
            <v>Penyuluhan Identifikasi Potensi Energi Matahari Sebagai Sumber Listrik di SD Negeri Tambakharjo Semarang</v>
          </cell>
          <cell r="D4" t="str">
            <v>A Kusmantoro, I Farikhah</v>
          </cell>
          <cell r="E4" t="str">
            <v>J-ADIMAS (Jurnal Pengabdian Kepada Masyarakat)</v>
          </cell>
          <cell r="F4">
            <v>2022</v>
          </cell>
          <cell r="G4">
            <v>15</v>
          </cell>
          <cell r="H4" t="str">
            <v>Community Service Journal</v>
          </cell>
          <cell r="I4" t="str">
            <v>S3-S5</v>
          </cell>
        </row>
        <row r="5">
          <cell r="C5" t="str">
            <v>Pemeriksaan kondisi peralatan mekanikal dan elektrikal gedung menggunakan metode infrared thermography</v>
          </cell>
          <cell r="D5" t="str">
            <v>A Kusmantoro, S Sukamta</v>
          </cell>
          <cell r="E5" t="str">
            <v>Jurnal Teknik Elektro</v>
          </cell>
          <cell r="F5">
            <v>2013</v>
          </cell>
          <cell r="G5">
            <v>10</v>
          </cell>
          <cell r="H5" t="str">
            <v>National Journal</v>
          </cell>
          <cell r="I5" t="str">
            <v>S2</v>
          </cell>
        </row>
        <row r="6">
          <cell r="C6" t="str">
            <v>Kinerja Micro Grid Menggunakan Photovoltaic-Baterai dengan Sistem Off-Grid</v>
          </cell>
          <cell r="D6" t="str">
            <v>A Kusmantoro, A Priyadi, VLB Putri, MH Purnomo</v>
          </cell>
          <cell r="E6" t="str">
            <v>Jurnal Nasional Teknik Elektro dan Teknologi Informasi| Vol</v>
          </cell>
          <cell r="F6">
            <v>2020</v>
          </cell>
          <cell r="G6">
            <v>9</v>
          </cell>
          <cell r="H6" t="str">
            <v>National Journal</v>
          </cell>
          <cell r="I6" t="str">
            <v>S2</v>
          </cell>
        </row>
        <row r="7">
          <cell r="C7" t="str">
            <v>Strategi Peningkatan Kinerja DC Microgriddengan Konfigurasi DC/ACCoupling</v>
          </cell>
          <cell r="D7" t="str">
            <v>A Kusmantoro</v>
          </cell>
          <cell r="E7" t="str">
            <v>Jurnal Nasional Teknik Elektro Dan Teknologi Informasi</v>
          </cell>
          <cell r="F7">
            <v>2023</v>
          </cell>
          <cell r="G7">
            <v>8</v>
          </cell>
          <cell r="H7" t="str">
            <v>National Journal</v>
          </cell>
          <cell r="I7" t="str">
            <v>S2</v>
          </cell>
        </row>
        <row r="8">
          <cell r="C8" t="str">
            <v>Voltage stability in DC micro grid by controlling two battery units with hybrid network systems</v>
          </cell>
          <cell r="D8" t="str">
            <v>A Kusmantoro, A Priyadi, MH Purnomo</v>
          </cell>
          <cell r="E8" t="str">
            <v>2018 5th International Conference on Industrial Engineering and Applications …</v>
          </cell>
          <cell r="F8">
            <v>2018</v>
          </cell>
          <cell r="G8">
            <v>7</v>
          </cell>
          <cell r="H8" t="str">
            <v>International Proceeding</v>
          </cell>
          <cell r="I8" t="str">
            <v>-</v>
          </cell>
        </row>
        <row r="9">
          <cell r="C9" t="str">
            <v>Solar power and multi-battery for new configuration DC microgrid using centralized control</v>
          </cell>
          <cell r="D9" t="str">
            <v>A Kusmantoro, I Farikhan</v>
          </cell>
          <cell r="E9" t="str">
            <v>Archives of Electrical Engineering</v>
          </cell>
          <cell r="F9">
            <v>2023</v>
          </cell>
          <cell r="G9">
            <v>6</v>
          </cell>
          <cell r="H9" t="str">
            <v>International Journal</v>
          </cell>
          <cell r="I9" t="str">
            <v>-</v>
          </cell>
        </row>
        <row r="10">
          <cell r="C10" t="str">
            <v>Fuzzy-pid controller on mppt pv to stabilize dc bus voltage</v>
          </cell>
          <cell r="D10" t="str">
            <v>A Kusmantoro, MH Purnomo, A Priyadi, VLB Putri</v>
          </cell>
          <cell r="E10" t="str">
            <v>2019 International Conference on Technologies and Policies in Electric Power …</v>
          </cell>
          <cell r="F10">
            <v>2019</v>
          </cell>
          <cell r="G10">
            <v>6</v>
          </cell>
          <cell r="H10" t="str">
            <v>International Proceeding</v>
          </cell>
          <cell r="I10" t="str">
            <v>-</v>
          </cell>
        </row>
        <row r="11">
          <cell r="C11" t="str">
            <v>Improvement the Capacity of Electrical Energy in Residential Using PV With On-Grid System</v>
          </cell>
          <cell r="D11" t="str">
            <v>A Kusmantoro</v>
          </cell>
          <cell r="F11">
            <v>2022</v>
          </cell>
          <cell r="G11">
            <v>5</v>
          </cell>
          <cell r="H11" t="str">
            <v>Other</v>
          </cell>
          <cell r="I11" t="str">
            <v>-</v>
          </cell>
        </row>
        <row r="12">
          <cell r="C12" t="str">
            <v>Peningkatan Kinerja MPPT Menggunakan Kontrol PWM Fuzzy dengan Tuning PID</v>
          </cell>
          <cell r="D12" t="str">
            <v>A Kusmantoro, M Margono</v>
          </cell>
          <cell r="E12" t="str">
            <v>Jurnal Rekayasa Elektrika</v>
          </cell>
          <cell r="F12">
            <v>2020</v>
          </cell>
          <cell r="G12">
            <v>5</v>
          </cell>
          <cell r="H12" t="str">
            <v>National Journal</v>
          </cell>
          <cell r="I12" t="str">
            <v>S1</v>
          </cell>
        </row>
        <row r="13">
          <cell r="C13" t="str">
            <v>Sosialisasi Penerapan Panel Surya Sebagai Sumber Listrik di SD Labschool Unnes Semarang</v>
          </cell>
          <cell r="D13" t="str">
            <v>A Kusmantoro, N Rustanti</v>
          </cell>
          <cell r="E13" t="str">
            <v>Jurnal Pengabdian kepada Masyarakat Nusantara</v>
          </cell>
          <cell r="F13">
            <v>2025</v>
          </cell>
          <cell r="G13">
            <v>4</v>
          </cell>
          <cell r="H13" t="str">
            <v>Community Service Journal</v>
          </cell>
          <cell r="I13" t="str">
            <v>S3-S5</v>
          </cell>
        </row>
        <row r="14">
          <cell r="C14" t="str">
            <v>A comprehensive analysis of mask detection using convolutional neural networks (CNN) and single shot multibox detector (SSD) approach</v>
          </cell>
          <cell r="D14" t="str">
            <v>BK Mukti, M Novita, M Amirudin, SK Singh, I Harjanto, P Bhardwaj, ...</v>
          </cell>
          <cell r="E14" t="str">
            <v>2023 International Conference on Sustainable Emerging Innovations in …</v>
          </cell>
          <cell r="F14">
            <v>2023</v>
          </cell>
          <cell r="G14">
            <v>4</v>
          </cell>
          <cell r="H14" t="str">
            <v>International Proceeding</v>
          </cell>
          <cell r="I14" t="str">
            <v>-</v>
          </cell>
        </row>
        <row r="15">
          <cell r="C15" t="str">
            <v>Hybrid Water Feedback Solutions Using Internet of Thing (IoT) Enabled Water Pumps Powered by Solar Panels</v>
          </cell>
          <cell r="D15" t="str">
            <v>A Buchori, A Kusmantoro, A Burhanuddin, T Hiyama</v>
          </cell>
          <cell r="E15" t="str">
            <v>Scientific Journal of Informatics</v>
          </cell>
          <cell r="F15">
            <v>2023</v>
          </cell>
          <cell r="G15">
            <v>4</v>
          </cell>
          <cell r="H15" t="str">
            <v>National Journal</v>
          </cell>
          <cell r="I15" t="str">
            <v>S2</v>
          </cell>
        </row>
        <row r="16">
          <cell r="C16" t="str">
            <v>Power management on DC microgrid with new DC coupling based on fuzzy logic</v>
          </cell>
          <cell r="D16" t="str">
            <v>A Kusmantoro</v>
          </cell>
          <cell r="E16" t="str">
            <v>Indonesian Journal of Electrical Engineering and Computer Science 32 (2 …</v>
          </cell>
          <cell r="F16">
            <v>2023</v>
          </cell>
          <cell r="G16">
            <v>4</v>
          </cell>
          <cell r="H16" t="str">
            <v>National Journal</v>
          </cell>
          <cell r="I16" t="str">
            <v>S3</v>
          </cell>
        </row>
        <row r="17">
          <cell r="C17" t="str">
            <v>Enhancement DC Microgrid Power Stability With a Centralized</v>
          </cell>
          <cell r="D17" t="str">
            <v>A Kusmantoro</v>
          </cell>
          <cell r="E17" t="str">
            <v>2022 Fifth International Conference on Vocational Education and Electrical …</v>
          </cell>
          <cell r="F17">
            <v>2022</v>
          </cell>
          <cell r="G17">
            <v>4</v>
          </cell>
          <cell r="H17" t="str">
            <v>International Proceeding</v>
          </cell>
          <cell r="I17" t="str">
            <v>-</v>
          </cell>
        </row>
        <row r="18">
          <cell r="C18" t="str">
            <v>Soft Starter untuk Pompa Submersible Satu Fasa dengan Controller PID TK4S-T4SN</v>
          </cell>
          <cell r="D18" t="str">
            <v>A Kusmantoro</v>
          </cell>
          <cell r="F18">
            <v>2017</v>
          </cell>
          <cell r="G18">
            <v>4</v>
          </cell>
          <cell r="H18" t="str">
            <v>Other</v>
          </cell>
          <cell r="I18" t="str">
            <v>-</v>
          </cell>
        </row>
        <row r="19">
          <cell r="C19" t="str">
            <v>Rancang Bangun Kapasitor Bank Pada Jaringan Listrik Gedung Universitas PGRI Semarang</v>
          </cell>
          <cell r="D19" t="str">
            <v>A Nuwolo, A Kusmantoro</v>
          </cell>
          <cell r="E19" t="str">
            <v>Prosiding Sains Nasional dan Teknologi</v>
          </cell>
          <cell r="F19">
            <v>2015</v>
          </cell>
          <cell r="G19">
            <v>4</v>
          </cell>
          <cell r="H19" t="str">
            <v>National Proceeding</v>
          </cell>
          <cell r="I19" t="str">
            <v>-</v>
          </cell>
        </row>
        <row r="20">
          <cell r="C20" t="str">
            <v>Pengendali Star Delta Pada Pompa Deep Well 3 Fasa 37 Kw Dengan Plc Zelio Sr3B261Fu</v>
          </cell>
          <cell r="D20" t="str">
            <v>A Kusmantoro, A Nuwolo</v>
          </cell>
          <cell r="E20" t="str">
            <v>Media Elektrika</v>
          </cell>
          <cell r="F20">
            <v>2015</v>
          </cell>
          <cell r="G20">
            <v>4</v>
          </cell>
          <cell r="H20" t="str">
            <v>National Journal</v>
          </cell>
          <cell r="I20" t="str">
            <v>S3</v>
          </cell>
        </row>
        <row r="21">
          <cell r="C21" t="str">
            <v>Pelatihan Media Pembelajaran Canva Bagi Guru SD Pendidikan Agama Kristen di Kota Semarang Provinsi Jawa Tengah</v>
          </cell>
          <cell r="D21" t="str">
            <v>A Kusmantoro</v>
          </cell>
          <cell r="E21" t="str">
            <v>Community: Jurnal Pengabdian Pada Masyarakat</v>
          </cell>
          <cell r="F21">
            <v>2025</v>
          </cell>
          <cell r="G21">
            <v>3</v>
          </cell>
          <cell r="H21" t="str">
            <v>Community Service Journal</v>
          </cell>
          <cell r="I21" t="str">
            <v>S3-S5</v>
          </cell>
        </row>
        <row r="22">
          <cell r="C22" t="str">
            <v>Penggunaan APD terhadap Kecelakaan Kerja pada Pekerjan Bertegangan Listrik di PT PLN Persero Pemalang</v>
          </cell>
          <cell r="D22" t="str">
            <v>LJ Zanuba, A Kusmantoro</v>
          </cell>
          <cell r="E22" t="str">
            <v>Elektriese: Jurnal Sains dan Teknologi Elektro</v>
          </cell>
          <cell r="F22">
            <v>2024</v>
          </cell>
          <cell r="G22">
            <v>3</v>
          </cell>
          <cell r="H22" t="str">
            <v>National Journal</v>
          </cell>
          <cell r="I22" t="str">
            <v>S4</v>
          </cell>
        </row>
        <row r="23">
          <cell r="C23" t="str">
            <v>Multi-Inverter Coordinated Control on AC Microgrid for Increased Load Power</v>
          </cell>
          <cell r="D23" t="str">
            <v>A Kusmantoro</v>
          </cell>
          <cell r="E23" t="str">
            <v>2023 Sixth International Conference on Vocational Education and Electrical …</v>
          </cell>
          <cell r="F23">
            <v>2023</v>
          </cell>
          <cell r="G23">
            <v>3</v>
          </cell>
          <cell r="H23" t="str">
            <v>International Proceeding</v>
          </cell>
          <cell r="I23" t="str">
            <v>-</v>
          </cell>
        </row>
        <row r="24">
          <cell r="C24" t="str">
            <v>Socialization and Training of Solar Power Generation (PLTS) at SD Negeri Tambakharjo Semarang</v>
          </cell>
          <cell r="D24" t="str">
            <v>A Kusmantoro, I Farikhah</v>
          </cell>
          <cell r="E24" t="str">
            <v>Dimas: Jurnal Pemikiran Agama untuk Pemberdayaan</v>
          </cell>
          <cell r="F24">
            <v>2022</v>
          </cell>
          <cell r="G24">
            <v>3</v>
          </cell>
          <cell r="H24" t="str">
            <v>Community Service Journal</v>
          </cell>
          <cell r="I24" t="str">
            <v>-</v>
          </cell>
        </row>
        <row r="25">
          <cell r="C25" t="str">
            <v>Use Of Inverter Off Grid 2000 Watt For Household With Battery Storage</v>
          </cell>
          <cell r="D25" t="str">
            <v>A Kusmantoro, M Novita</v>
          </cell>
          <cell r="E25" t="str">
            <v>Journal of Physics: Conference Series</v>
          </cell>
          <cell r="F25">
            <v>2019</v>
          </cell>
          <cell r="G25">
            <v>3</v>
          </cell>
          <cell r="H25" t="str">
            <v>International Proceeding</v>
          </cell>
          <cell r="I25" t="str">
            <v>-</v>
          </cell>
        </row>
        <row r="26">
          <cell r="C26" t="str">
            <v>Pengendali Posisi Motor DC dengan PID menggunakan Metode Root Locus</v>
          </cell>
          <cell r="D26" t="str">
            <v>A Nuwolo, A Kusmantoro</v>
          </cell>
          <cell r="E26" t="str">
            <v>Media Elektrika</v>
          </cell>
          <cell r="F26">
            <v>2014</v>
          </cell>
          <cell r="G26">
            <v>3</v>
          </cell>
          <cell r="H26" t="str">
            <v>National Journal</v>
          </cell>
          <cell r="I26" t="str">
            <v>S3</v>
          </cell>
        </row>
        <row r="27">
          <cell r="C27" t="str">
            <v>Pemanfaatan Biogas dari Limbah Ternak Sapi Sebagai Solusi Energi Terbarukan dan Peningkatan Kesejahteraan Masyarakat Desa Kuripan Kecamatan Karangawen Demak</v>
          </cell>
          <cell r="D27" t="str">
            <v>A Buchori, D Prasetyowati, S Widodo, A Kusmantoro, SM Bakti</v>
          </cell>
          <cell r="E27" t="str">
            <v>Journal of Dedicators Community</v>
          </cell>
          <cell r="F27">
            <v>2025</v>
          </cell>
          <cell r="G27">
            <v>2</v>
          </cell>
          <cell r="H27" t="str">
            <v>Community Service Journal</v>
          </cell>
          <cell r="I27" t="str">
            <v>-</v>
          </cell>
        </row>
        <row r="28">
          <cell r="C28" t="str">
            <v>Perancangan Perangkat Keras Pengering Pakaian</v>
          </cell>
          <cell r="D28" t="str">
            <v>F Udin, A Kusmantoro</v>
          </cell>
          <cell r="E28" t="str">
            <v>JETI (Jurnal Elektro dan Teknologi Informasi)</v>
          </cell>
          <cell r="F28">
            <v>2024</v>
          </cell>
          <cell r="G28">
            <v>2</v>
          </cell>
          <cell r="H28" t="str">
            <v>National Journal</v>
          </cell>
          <cell r="I28" t="str">
            <v>S4</v>
          </cell>
        </row>
        <row r="29">
          <cell r="C29" t="str">
            <v>Real-time microgrid for submersible pump energy consumption based on fuzzy logic controller</v>
          </cell>
          <cell r="D29" t="str">
            <v>A Kusmantoro</v>
          </cell>
          <cell r="E29" t="str">
            <v>2023 International Conference on Advanced Mechatronics, Intelligent …</v>
          </cell>
          <cell r="F29">
            <v>2023</v>
          </cell>
          <cell r="G29">
            <v>2</v>
          </cell>
          <cell r="H29" t="str">
            <v>International Proceeding</v>
          </cell>
          <cell r="I29" t="str">
            <v>-</v>
          </cell>
        </row>
        <row r="30">
          <cell r="C30" t="str">
            <v>Pelatihan Pembangkit Listrik Tenaga Surya (PLTS) di SD Negeri Tambakharjo Semarang</v>
          </cell>
          <cell r="D30" t="str">
            <v>A Kusmantoro</v>
          </cell>
          <cell r="E30" t="str">
            <v>Surya Abdimas</v>
          </cell>
          <cell r="F30">
            <v>2022</v>
          </cell>
          <cell r="G30">
            <v>2</v>
          </cell>
          <cell r="H30" t="str">
            <v>Community Service Journal</v>
          </cell>
          <cell r="I30" t="str">
            <v>S3-S5</v>
          </cell>
        </row>
        <row r="31">
          <cell r="C31" t="str">
            <v>Peningkatan daya pv terhubung ke grid dengan koordinasi kontrol mppt</v>
          </cell>
          <cell r="D31" t="str">
            <v>A Kusmantoro</v>
          </cell>
          <cell r="E31" t="str">
            <v>Universitas PGRI Semarang</v>
          </cell>
          <cell r="F31">
            <v>2022</v>
          </cell>
          <cell r="G31">
            <v>2</v>
          </cell>
          <cell r="H31" t="str">
            <v>National Journal</v>
          </cell>
          <cell r="I31" t="str">
            <v>-</v>
          </cell>
        </row>
        <row r="32">
          <cell r="C32" t="str">
            <v>Planning Of Solar Power Plant With On-Grid System At The Fourth Building University Of PGRI Semarang</v>
          </cell>
          <cell r="D32" t="str">
            <v>A Kusmantoro</v>
          </cell>
          <cell r="E32" t="str">
            <v>IJCONSIST JOURNALS</v>
          </cell>
          <cell r="F32">
            <v>2020</v>
          </cell>
          <cell r="G32">
            <v>2</v>
          </cell>
          <cell r="H32" t="str">
            <v>National Journal</v>
          </cell>
          <cell r="I32" t="str">
            <v>-</v>
          </cell>
        </row>
        <row r="33">
          <cell r="C33" t="str">
            <v>Design Of Electricity Energy Sources In University Of PGRI Semarang Using Off-Grid Solar Panel Systems</v>
          </cell>
          <cell r="D33" t="str">
            <v>A Kusmantoro, M Novita, W Th. Indriati</v>
          </cell>
          <cell r="E33" t="str">
            <v>IOP Conference Series: Materials Science and Engineering</v>
          </cell>
          <cell r="F33">
            <v>2020</v>
          </cell>
          <cell r="G33">
            <v>2</v>
          </cell>
          <cell r="H33" t="str">
            <v>International Proceeding</v>
          </cell>
          <cell r="I33" t="str">
            <v>-</v>
          </cell>
        </row>
        <row r="34">
          <cell r="C34" t="str">
            <v>Penggunaan Sumber Energi Photovoltaic Pada Jaringan Off Grid Untuk Beban Listrik Pada Rumah Tinggal</v>
          </cell>
          <cell r="D34" t="str">
            <v>A Kusmantoro, M Novita</v>
          </cell>
          <cell r="E34" t="str">
            <v>Prosiding Sains Nasional dan Teknologi</v>
          </cell>
          <cell r="F34">
            <v>2018</v>
          </cell>
          <cell r="G34">
            <v>2</v>
          </cell>
          <cell r="H34" t="str">
            <v>National Proceeding</v>
          </cell>
          <cell r="I34" t="str">
            <v>-</v>
          </cell>
        </row>
        <row r="35">
          <cell r="C35" t="str">
            <v>Identifikasi Kualitas Daya Listrik Gedung Universitas PGRI Semarang</v>
          </cell>
          <cell r="D35" t="str">
            <v>A Kusmantoro</v>
          </cell>
          <cell r="F35">
            <v>2015</v>
          </cell>
          <cell r="G35">
            <v>2</v>
          </cell>
          <cell r="H35" t="str">
            <v>Other</v>
          </cell>
          <cell r="I35" t="str">
            <v>-</v>
          </cell>
        </row>
        <row r="36">
          <cell r="C36" t="str">
            <v>Transformasi Sinyal Pada Sistem Kendali Menggunakan GUI dan Simulink Matlab</v>
          </cell>
          <cell r="D36" t="str">
            <v>A Kusmantoro</v>
          </cell>
          <cell r="E36" t="str">
            <v>Jurnal Informatika Upgris 1 (2 Desember)</v>
          </cell>
          <cell r="F36">
            <v>2015</v>
          </cell>
          <cell r="G36">
            <v>2</v>
          </cell>
          <cell r="H36" t="str">
            <v>National Journal</v>
          </cell>
          <cell r="I36" t="str">
            <v>-</v>
          </cell>
        </row>
        <row r="37">
          <cell r="C37" t="str">
            <v>IDENTIFIKASI POTENSI ENERGI MATAHARI SEBAGAI SUMBER LISTRIK BAGI WARGA CANGKIRAN SEMARANG DENGAN PANEL SURYA</v>
          </cell>
          <cell r="D37" t="str">
            <v>A Kusmantoro</v>
          </cell>
          <cell r="E37" t="str">
            <v>Jurnal Gembira: Pengabdian Kepada Masyarakat</v>
          </cell>
          <cell r="F37">
            <v>2025</v>
          </cell>
          <cell r="G37">
            <v>1</v>
          </cell>
          <cell r="H37" t="str">
            <v>Community Service Journal</v>
          </cell>
          <cell r="I37" t="str">
            <v>S3-S5</v>
          </cell>
        </row>
        <row r="38">
          <cell r="C38" t="str">
            <v>Power Flow Regulation of PLTS and Genset in Residential Using PLC Zelio</v>
          </cell>
          <cell r="D38" t="str">
            <v>A Kusmantoro, I Farikhah</v>
          </cell>
          <cell r="E38" t="str">
            <v>Jambura Journal of Electrical and Electronics Engineering</v>
          </cell>
          <cell r="F38">
            <v>2025</v>
          </cell>
          <cell r="G38">
            <v>1</v>
          </cell>
          <cell r="H38" t="str">
            <v>National Journal</v>
          </cell>
          <cell r="I38" t="str">
            <v>S2</v>
          </cell>
        </row>
        <row r="39">
          <cell r="C39" t="str">
            <v>Studi Analisa Penggunaan Baterai Li-Ion Dan Li-Po Pada Sistem Iot Hidroponik</v>
          </cell>
          <cell r="D39" t="str">
            <v>KZ Rifal, A Kusmantoro</v>
          </cell>
          <cell r="E39" t="str">
            <v>JETI (Jurnal Elektro dan Teknologi Informasi)</v>
          </cell>
          <cell r="F39">
            <v>2024</v>
          </cell>
          <cell r="G39">
            <v>1</v>
          </cell>
          <cell r="H39" t="str">
            <v>National Journal</v>
          </cell>
          <cell r="I39" t="str">
            <v>S4</v>
          </cell>
        </row>
        <row r="40">
          <cell r="C40" t="str">
            <v>Increased Load Power With Centralized Control of Multiple Microgrid Resources</v>
          </cell>
          <cell r="D40" t="str">
            <v>A Kusmantoro</v>
          </cell>
          <cell r="E40" t="str">
            <v>KnE Social Sciences, 346–360-346–360</v>
          </cell>
          <cell r="F40">
            <v>2024</v>
          </cell>
          <cell r="G40">
            <v>1</v>
          </cell>
          <cell r="H40" t="str">
            <v>International Proceeding</v>
          </cell>
          <cell r="I40" t="str">
            <v>-</v>
          </cell>
        </row>
        <row r="41">
          <cell r="C41" t="str">
            <v>Perencanaan Sistem Fire Alarm dan Hydran Pemadaman Kebakaran Pada Toserba Yogya Pekalongan</v>
          </cell>
          <cell r="D41" t="str">
            <v>MTM Irvan, A Kusmantoro</v>
          </cell>
          <cell r="E41" t="str">
            <v>JETI (Jurnal Elektro dan Teknologi Informasi)</v>
          </cell>
          <cell r="F41">
            <v>2024</v>
          </cell>
          <cell r="G41">
            <v>1</v>
          </cell>
          <cell r="H41" t="str">
            <v>National Journal</v>
          </cell>
          <cell r="I41" t="str">
            <v>S4</v>
          </cell>
        </row>
        <row r="42">
          <cell r="C42" t="str">
            <v>Optimalisasi Sistem Kelistrikan melalui Penggunaan Capacitor Bank</v>
          </cell>
          <cell r="D42" t="str">
            <v>R Maulidin, A Kusmantoro</v>
          </cell>
          <cell r="E42" t="str">
            <v>Science and Engineering National Seminar (SENS)</v>
          </cell>
          <cell r="F42">
            <v>2024</v>
          </cell>
          <cell r="G42">
            <v>1</v>
          </cell>
          <cell r="H42" t="str">
            <v>National Proceeding</v>
          </cell>
          <cell r="I42" t="str">
            <v>-</v>
          </cell>
        </row>
        <row r="43">
          <cell r="C43" t="str">
            <v>Pengenalan Photovoltaik (PV) Dalam Sistem PLTS di SD Negeri Kalibanteng Kulon 01 Semarang</v>
          </cell>
          <cell r="D43" t="str">
            <v>A Kusmantoro, TI Wardani, I Farikhah</v>
          </cell>
          <cell r="E43" t="str">
            <v>Seminar Nasional Hasil Penelitian Dan Pengabdian Kepada Masyarakat</v>
          </cell>
          <cell r="F43">
            <v>2023</v>
          </cell>
          <cell r="G43">
            <v>1</v>
          </cell>
          <cell r="H43" t="str">
            <v>National Proceeding</v>
          </cell>
          <cell r="I43" t="str">
            <v>S3-S5</v>
          </cell>
        </row>
        <row r="44">
          <cell r="C44" t="str">
            <v>Coordinated Control of AC Microgrid for Increase Load Power Using Multi-Inverter</v>
          </cell>
          <cell r="D44" t="str">
            <v>A Kusmantoro</v>
          </cell>
          <cell r="E44" t="str">
            <v>2023 International Conference on Electrical and Information Technology (IEIT …</v>
          </cell>
          <cell r="F44">
            <v>2023</v>
          </cell>
          <cell r="G44">
            <v>1</v>
          </cell>
          <cell r="H44" t="str">
            <v>International Proceeding</v>
          </cell>
          <cell r="I44" t="str">
            <v>-</v>
          </cell>
        </row>
        <row r="45">
          <cell r="C45" t="str">
            <v>Simulation Coordination Control of PVAnd Battery On Microgrid With PI Controller</v>
          </cell>
          <cell r="D45" t="str">
            <v>A Kusmantoro, T Hiyama</v>
          </cell>
          <cell r="E45" t="str">
            <v>Scientific Journal of Informatics</v>
          </cell>
          <cell r="F45">
            <v>2023</v>
          </cell>
          <cell r="G45">
            <v>1</v>
          </cell>
          <cell r="H45" t="str">
            <v>National Journal</v>
          </cell>
          <cell r="I45" t="str">
            <v>S2</v>
          </cell>
        </row>
        <row r="46">
          <cell r="C46" t="str">
            <v>PLTS MODULE DESIGN USING BATTERY MANAGEMENT SYSTEM ON LI-ION BATTERY</v>
          </cell>
          <cell r="D46" t="str">
            <v>MMS Wafa, A Kusmantoro, M Margono</v>
          </cell>
          <cell r="E46" t="str">
            <v>JETI (Jurnal Elektro dan Teknologi Informasi)</v>
          </cell>
          <cell r="F46">
            <v>2023</v>
          </cell>
          <cell r="G46">
            <v>1</v>
          </cell>
          <cell r="H46" t="str">
            <v>National Journal</v>
          </cell>
          <cell r="I46" t="str">
            <v>S4</v>
          </cell>
        </row>
        <row r="47">
          <cell r="C47" t="str">
            <v>Real-Time Microgrid Centralized Control For Consuming Water Pump</v>
          </cell>
          <cell r="D47" t="str">
            <v>A Kusmantoro, I Farikhah</v>
          </cell>
          <cell r="E47" t="str">
            <v>E3S Web of Conferences 465, 02003</v>
          </cell>
          <cell r="F47">
            <v>2023</v>
          </cell>
          <cell r="G47">
            <v>1</v>
          </cell>
          <cell r="H47" t="str">
            <v>International Proceeding</v>
          </cell>
          <cell r="I47" t="str">
            <v>-</v>
          </cell>
        </row>
        <row r="48">
          <cell r="C48" t="str">
            <v>Monitoring Energi Panel Surya Berbasis Iot Untuk Kebutuhan Energi Listrik Pompa Air</v>
          </cell>
          <cell r="D48" t="str">
            <v>A Buchori, A Kusmantoro</v>
          </cell>
          <cell r="E48" t="str">
            <v>Seminar Nasional Hasil Penelitian dan Pengabdian Kepada Masyarakat</v>
          </cell>
          <cell r="F48">
            <v>2022</v>
          </cell>
          <cell r="G48">
            <v>1</v>
          </cell>
          <cell r="H48" t="str">
            <v>National Proceeding</v>
          </cell>
          <cell r="I48" t="str">
            <v>S3-S5</v>
          </cell>
        </row>
        <row r="49">
          <cell r="C49" t="str">
            <v>IBM bagi Warga Kelurahan Jampirejo Kabupaten Temanggung</v>
          </cell>
          <cell r="D49" t="str">
            <v>A Nuwolo, A Kusmantoro</v>
          </cell>
          <cell r="E49" t="str">
            <v>Prosiding SNATIF, 777-781</v>
          </cell>
          <cell r="F49">
            <v>2017</v>
          </cell>
          <cell r="G49">
            <v>1</v>
          </cell>
          <cell r="H49" t="str">
            <v>National Proceeding</v>
          </cell>
          <cell r="I49" t="str">
            <v>-</v>
          </cell>
        </row>
        <row r="50">
          <cell r="C50" t="str">
            <v>Estimation of clear sky global solar irradiance as potential of electrical power generation of photovoltaic module based on latitude angle in semarang, Indonesia</v>
          </cell>
          <cell r="D50" t="str">
            <v>A Nuwolo, M Irwanto, AH Haziah, A Kusmantoro</v>
          </cell>
          <cell r="E50" t="str">
            <v>International Journal of Research in Advanced Engineering and Technology 3 …</v>
          </cell>
          <cell r="F50">
            <v>2017</v>
          </cell>
          <cell r="G50">
            <v>1</v>
          </cell>
          <cell r="H50" t="str">
            <v>International Journal</v>
          </cell>
          <cell r="I50" t="str">
            <v>-</v>
          </cell>
        </row>
        <row r="51">
          <cell r="C51" t="str">
            <v>Ibm Bagi Guru dan Siswa Smu Setia Budi Semarang</v>
          </cell>
          <cell r="D51" t="str">
            <v>A Kusmantoro, A Nuwolo</v>
          </cell>
          <cell r="E51" t="str">
            <v>E-Dimas: Jurnal Pengabdian kepada Masyarakat</v>
          </cell>
          <cell r="F51">
            <v>2016</v>
          </cell>
          <cell r="G51">
            <v>1</v>
          </cell>
          <cell r="H51" t="str">
            <v>Community Service Journal</v>
          </cell>
          <cell r="I51" t="str">
            <v>S3-S5</v>
          </cell>
        </row>
        <row r="52">
          <cell r="C52" t="str">
            <v>Peningkatan Efisiensi Sumber Tenaga Listrik Di Industri Dengan Kapasitor Bank</v>
          </cell>
          <cell r="D52" t="str">
            <v>A Kusmantoro</v>
          </cell>
          <cell r="F52">
            <v>2015</v>
          </cell>
          <cell r="G52">
            <v>1</v>
          </cell>
          <cell r="H52" t="str">
            <v>Other</v>
          </cell>
          <cell r="I52" t="str">
            <v>-</v>
          </cell>
        </row>
        <row r="53">
          <cell r="C53" t="str">
            <v>Digital circuit design and simulation of combination for controlling pump electric motors hydrant with zelio soft 2</v>
          </cell>
          <cell r="D53" t="str">
            <v>A KUSMANTORO, SRI SUKAMTA, A NUWOLO</v>
          </cell>
          <cell r="E53" t="str">
            <v>semnas_2015</v>
          </cell>
          <cell r="F53">
            <v>2015</v>
          </cell>
          <cell r="G53">
            <v>1</v>
          </cell>
          <cell r="H53" t="str">
            <v>National Proceeding</v>
          </cell>
          <cell r="I53" t="str">
            <v>-</v>
          </cell>
        </row>
        <row r="54">
          <cell r="C54" t="str">
            <v>Penyearah Terkendali Satu Fasa Berumpan Balik Dengan Perubahan Gain Pengendali Pi (Proporsional Integral)</v>
          </cell>
          <cell r="D54" t="str">
            <v>A Kusmantoro, A Nuwolo</v>
          </cell>
          <cell r="E54" t="str">
            <v>Media Elektrika</v>
          </cell>
          <cell r="F54">
            <v>2015</v>
          </cell>
          <cell r="G54">
            <v>1</v>
          </cell>
          <cell r="H54" t="str">
            <v>National Journal</v>
          </cell>
          <cell r="I54" t="str">
            <v>S3</v>
          </cell>
        </row>
        <row r="55">
          <cell r="C55" t="str">
            <v>Teknologi Biometrik Dengan Metode Sidik Jari Untuk Sistem Keamanan Database</v>
          </cell>
          <cell r="D55" t="str">
            <v>A Kusmantoro</v>
          </cell>
          <cell r="E55" t="str">
            <v>Jurnal Transformatika</v>
          </cell>
          <cell r="F55">
            <v>2006</v>
          </cell>
          <cell r="G55">
            <v>1</v>
          </cell>
          <cell r="H55" t="str">
            <v>National Journal</v>
          </cell>
          <cell r="I55" t="str">
            <v>-</v>
          </cell>
        </row>
        <row r="56">
          <cell r="C56" t="str">
            <v>Sosialisasi Penerapan Panel Surya di SD Negeri Tambakharjo Semarang Dalam Mendukung Energi Hijau</v>
          </cell>
          <cell r="D56" t="str">
            <v>A Kusmantoro, AR Hapsari</v>
          </cell>
          <cell r="E56" t="str">
            <v>Jurnal Pengabdian Masyarakat-PIMAS</v>
          </cell>
          <cell r="F56">
            <v>2026</v>
          </cell>
          <cell r="G56">
            <v>0</v>
          </cell>
          <cell r="H56" t="str">
            <v>Community Service Journal</v>
          </cell>
          <cell r="I56" t="str">
            <v>S3-S5</v>
          </cell>
        </row>
        <row r="57">
          <cell r="C57" t="str">
            <v>DESAIN PEMBANGKIT LISTRIK TENAGA SURYA (PLTS) DENGAN SISTEM HIBRID UNTUK POMPA SAWAH</v>
          </cell>
          <cell r="D57" t="str">
            <v>A Kusmantoro</v>
          </cell>
          <cell r="E57" t="str">
            <v>JURNAL REKAYASA ENERGI</v>
          </cell>
          <cell r="F57">
            <v>2025</v>
          </cell>
          <cell r="G57">
            <v>0</v>
          </cell>
          <cell r="H57" t="str">
            <v>National Journal</v>
          </cell>
          <cell r="I57" t="str">
            <v>-</v>
          </cell>
        </row>
        <row r="58">
          <cell r="C58" t="str">
            <v>MANAJEMEN ALIRAN ENERGI MENGGUNAKAN ALGORITMA GENETIK PADA dc/ac MIKROGRID</v>
          </cell>
          <cell r="D58" t="str">
            <v>A Kusmantoro</v>
          </cell>
          <cell r="E58" t="str">
            <v>Elektrika</v>
          </cell>
          <cell r="F58">
            <v>2025</v>
          </cell>
          <cell r="G58">
            <v>0</v>
          </cell>
          <cell r="H58" t="str">
            <v>National Journal</v>
          </cell>
          <cell r="I58" t="str">
            <v>-</v>
          </cell>
        </row>
        <row r="59">
          <cell r="C59" t="str">
            <v>Perancangan Pembangkit Listrik Tenaga Surya Untuk Penerangan di Mushola RT01/RW01 Kelurahan Bandung Kecamatan Tegal Selatan Kota Tegal</v>
          </cell>
          <cell r="D59" t="str">
            <v>A Kusmantoro, M Amiruddin</v>
          </cell>
          <cell r="E59" t="str">
            <v>JETI (Jurnal Elektro dan Teknologi Informasi)</v>
          </cell>
          <cell r="F59">
            <v>2025</v>
          </cell>
          <cell r="G59">
            <v>0</v>
          </cell>
          <cell r="H59" t="str">
            <v>National Journal</v>
          </cell>
          <cell r="I59" t="str">
            <v>S4</v>
          </cell>
        </row>
        <row r="60">
          <cell r="C60" t="str">
            <v>KOMPARASI NILAI IMPEDANSI TERHADAP PENGARUH FUNGSI PADA PRODUK ANTENNA KEYLESS 4L45W</v>
          </cell>
          <cell r="D60" t="str">
            <v>M Ghifari, A Kusmantoro, BH Kunaryo</v>
          </cell>
          <cell r="E60" t="str">
            <v>JETI (Jurnal Elektro dan Teknologi Informasi)</v>
          </cell>
          <cell r="F60">
            <v>2025</v>
          </cell>
          <cell r="G60">
            <v>0</v>
          </cell>
          <cell r="H60" t="str">
            <v>National Journal</v>
          </cell>
          <cell r="I60" t="str">
            <v>S4</v>
          </cell>
        </row>
        <row r="61">
          <cell r="C61" t="str">
            <v>PID Controller-Based Simulations for Controlling Inverter Voltage to Enhance Power in a Microgrid</v>
          </cell>
          <cell r="D61" t="str">
            <v>R Maulidin, BR Nugroho, A Kusmantoro</v>
          </cell>
          <cell r="E61" t="str">
            <v>Kinetik: Game Technology, Information System, Computer Network, Computing …</v>
          </cell>
          <cell r="F61">
            <v>2025</v>
          </cell>
          <cell r="G61">
            <v>0</v>
          </cell>
          <cell r="H61" t="str">
            <v>National Journal</v>
          </cell>
          <cell r="I61" t="str">
            <v>S3</v>
          </cell>
        </row>
        <row r="62">
          <cell r="C62" t="str">
            <v>Improvement of AC Bus Voltage Stability with Current Control Inverter</v>
          </cell>
          <cell r="D62" t="str">
            <v>BR Nugroho, R Maulidin, A Kusmantoro</v>
          </cell>
          <cell r="E62" t="str">
            <v>Kinetik: Game Technology, Information System, Computer Network, Computing …</v>
          </cell>
          <cell r="F62">
            <v>2025</v>
          </cell>
          <cell r="G62">
            <v>0</v>
          </cell>
          <cell r="H62" t="str">
            <v>National Journal</v>
          </cell>
          <cell r="I62" t="str">
            <v>S3</v>
          </cell>
        </row>
        <row r="63">
          <cell r="C63" t="str">
            <v>Increasing Awareness of Cow Manure Processing Technology through Virtual Reality-Based Educational Media Training in Kuripan Village, Demak.</v>
          </cell>
          <cell r="D63" t="str">
            <v>A Buchori, D Prasetyowati, S Widodo, A Kusmantoro, SMB Pertiwi</v>
          </cell>
          <cell r="E63" t="str">
            <v>KnE Social Sciences</v>
          </cell>
          <cell r="F63">
            <v>2025</v>
          </cell>
          <cell r="G63">
            <v>0</v>
          </cell>
          <cell r="H63" t="str">
            <v>International Proceeding</v>
          </cell>
          <cell r="I63" t="str">
            <v>-</v>
          </cell>
        </row>
        <row r="64">
          <cell r="C64" t="str">
            <v>Increased DC Bus Voltage Stability with Multiple Microgrid Cluster Strategies.</v>
          </cell>
          <cell r="D64" t="str">
            <v>A Kusmantoro</v>
          </cell>
          <cell r="E64" t="str">
            <v>KnE Social Sciences</v>
          </cell>
          <cell r="F64">
            <v>2025</v>
          </cell>
          <cell r="G64">
            <v>0</v>
          </cell>
          <cell r="H64" t="str">
            <v>International Proceeding</v>
          </cell>
          <cell r="I64" t="str">
            <v>-</v>
          </cell>
        </row>
        <row r="65">
          <cell r="C65" t="str">
            <v>The Utilization of Cattle Manure Biogas as a Renewable Energy Solution and a Means to Improve Community Welfare in Kuripan Village, Karangawen District, Demak</v>
          </cell>
          <cell r="D65" t="str">
            <v>A Buchori, D Prasetyowati, S Widodo, A Kusmantoro, SMB Pertiwi</v>
          </cell>
          <cell r="E65" t="str">
            <v>Proceeding International Conference on Digital Education and Social Science …</v>
          </cell>
          <cell r="F65">
            <v>2025</v>
          </cell>
          <cell r="G65">
            <v>0</v>
          </cell>
          <cell r="H65" t="str">
            <v>International Proceeding</v>
          </cell>
          <cell r="I65" t="str">
            <v>-</v>
          </cell>
        </row>
        <row r="66">
          <cell r="C66" t="str">
            <v>STUDI PERBANDINGAN SENSOR SHT40 DAN CHT8305 DALAM PENGUKURAN SUHU DAN KELEMBAPAN BERBASIS ESP8266</v>
          </cell>
          <cell r="D66" t="str">
            <v>KRN Putri, A Kusmantoro, DD Septina</v>
          </cell>
          <cell r="E66" t="str">
            <v>Science and Engineering National Seminar (SENS)</v>
          </cell>
          <cell r="F66">
            <v>2024</v>
          </cell>
          <cell r="G66">
            <v>0</v>
          </cell>
          <cell r="H66" t="str">
            <v>National Proceeding</v>
          </cell>
          <cell r="I66" t="str">
            <v>-</v>
          </cell>
        </row>
        <row r="67">
          <cell r="C67" t="str">
            <v>Penerapan Teknik Diagnostik Kerusakan Pada Mesin Las dan Pemotong Plasma Di PT Laksana Bus Manufaktur</v>
          </cell>
          <cell r="D67" t="str">
            <v>MCARB Saputra, A Kusmantoro</v>
          </cell>
          <cell r="E67" t="str">
            <v>Proceeding Science and Engineering National Seminar</v>
          </cell>
          <cell r="F67">
            <v>2024</v>
          </cell>
          <cell r="G67">
            <v>0</v>
          </cell>
          <cell r="H67" t="str">
            <v>National Proceeding</v>
          </cell>
          <cell r="I67" t="str">
            <v>-</v>
          </cell>
        </row>
        <row r="68">
          <cell r="C68" t="str">
            <v>Power Regulation on PV and Grid With Monitoring Load Power in Residential</v>
          </cell>
          <cell r="D68" t="str">
            <v>A Kusmantoro</v>
          </cell>
          <cell r="E68" t="str">
            <v>2024 11th International Conference on Electrical Engineering, Computer …</v>
          </cell>
          <cell r="F68">
            <v>2024</v>
          </cell>
          <cell r="G68">
            <v>0</v>
          </cell>
          <cell r="H68" t="str">
            <v>International Proceeding</v>
          </cell>
          <cell r="I68" t="str">
            <v>-</v>
          </cell>
        </row>
        <row r="69">
          <cell r="C69" t="str">
            <v>Pengenalan PLTS Sebagai Pembangkit Listrik Energi Terbarukan Bagi Siswa dan Guru SD Negeri Kalibanteng Kulon 01 Semarang</v>
          </cell>
          <cell r="D69" t="str">
            <v>A Kusmantoro, I Farikhah, TI Wardani</v>
          </cell>
          <cell r="E69" t="str">
            <v>J-ADIMAS (Jurnal Pengabdian Kepada Masyarakat)</v>
          </cell>
          <cell r="F69">
            <v>2024</v>
          </cell>
          <cell r="G69">
            <v>0</v>
          </cell>
          <cell r="H69" t="str">
            <v>Community Service Journal</v>
          </cell>
          <cell r="I69" t="str">
            <v>S3-S5</v>
          </cell>
        </row>
        <row r="70">
          <cell r="C70" t="str">
            <v>PERANCANGAN ALAT PENYIRAMAN TANAMAN OTOMATIS BERBASIS PID DENGAN MONITORING PID</v>
          </cell>
          <cell r="D70" t="str">
            <v>AFR Alfan, A Kusmantoro</v>
          </cell>
          <cell r="E70" t="str">
            <v>JETI (Jurnal Elektro dan Teknologi Informasi)</v>
          </cell>
          <cell r="F70">
            <v>2024</v>
          </cell>
          <cell r="G70">
            <v>0</v>
          </cell>
          <cell r="H70" t="str">
            <v>National Journal</v>
          </cell>
          <cell r="I70" t="str">
            <v>S4</v>
          </cell>
        </row>
        <row r="71">
          <cell r="C71" t="str">
            <v>Pelatihan Majalah Dinding Digital Berbasis Web bagi Komunitas Seni Hysteria Semarang</v>
          </cell>
          <cell r="D71" t="str">
            <v>TI Wardani, A Kusmantoro, I Farikhah, FXD Purwosetiyono</v>
          </cell>
          <cell r="E71" t="str">
            <v>Pelita: Jurnal Pengabdian kepada Masyarakat</v>
          </cell>
          <cell r="F71">
            <v>2024</v>
          </cell>
          <cell r="G71">
            <v>0</v>
          </cell>
          <cell r="H71" t="str">
            <v>Community Service Journal</v>
          </cell>
          <cell r="I71" t="str">
            <v>S3-S5</v>
          </cell>
        </row>
        <row r="72">
          <cell r="C72" t="str">
            <v>Analisa Perbandingan Performansi Kecepatan Downlink Dan Uplink Pada Jaringan 4g Lte Antara Provider Jaringan Indosat Dan Smartfren Di Kawasan Tlogosari Semarang</v>
          </cell>
          <cell r="D72" t="str">
            <v>A Kusmantoro, BH Kunaryo</v>
          </cell>
          <cell r="E72" t="str">
            <v>JETI (Jurnal Elektro dan Teknologi Informasi)</v>
          </cell>
          <cell r="F72">
            <v>2024</v>
          </cell>
          <cell r="G72">
            <v>0</v>
          </cell>
          <cell r="H72" t="str">
            <v>National Journal</v>
          </cell>
          <cell r="I72" t="str">
            <v>S4</v>
          </cell>
        </row>
        <row r="73">
          <cell r="C73" t="str">
            <v>PERANCANGAN SISTEM INSTALASI LISTRIK PRESIDENT ROOM RUMAH SAKIT MITRA BANGSA PATI</v>
          </cell>
          <cell r="D73" t="str">
            <v>A Kusmantoro, M Amirudin</v>
          </cell>
          <cell r="E73" t="str">
            <v>JETI (Jurnal Elektro dan Teknologi Informasi)</v>
          </cell>
          <cell r="F73">
            <v>2024</v>
          </cell>
          <cell r="G73">
            <v>0</v>
          </cell>
          <cell r="H73" t="str">
            <v>National Journal</v>
          </cell>
          <cell r="I73" t="str">
            <v>S4</v>
          </cell>
        </row>
        <row r="74">
          <cell r="C74" t="str">
            <v>DESAIN PEMBANGKIT LISTRIK TENAGA BAYU (PLTB) DENGAN TURBIN ANGIN VERTIKAL</v>
          </cell>
          <cell r="D74" t="str">
            <v>T Ardiyanto, A Kusmantoro</v>
          </cell>
          <cell r="E74" t="str">
            <v>JETI (Jurnal Elektro dan Teknologi Informasi)</v>
          </cell>
          <cell r="F74">
            <v>2024</v>
          </cell>
          <cell r="G74">
            <v>0</v>
          </cell>
          <cell r="H74" t="str">
            <v>National Journal</v>
          </cell>
          <cell r="I74" t="str">
            <v>S4</v>
          </cell>
        </row>
        <row r="75">
          <cell r="C75" t="str">
            <v>RANCANG BANGUN PANEL MDP GEDUNG PUNAI</v>
          </cell>
          <cell r="D75" t="str">
            <v>L Indriyani, A Kusmantoro</v>
          </cell>
          <cell r="E75" t="str">
            <v>Science and Engineering National Seminar (SENS)</v>
          </cell>
          <cell r="F75">
            <v>2024</v>
          </cell>
          <cell r="G75">
            <v>0</v>
          </cell>
          <cell r="H75" t="str">
            <v>National Proceeding</v>
          </cell>
          <cell r="I75" t="str">
            <v>-</v>
          </cell>
        </row>
        <row r="76">
          <cell r="C76" t="str">
            <v>Inspeksi Ketenagalistrikan Pada Pembangkit Listrik Tenaga Diesel (Pltd) Kapasitas 250 Kva Di Nasmoco Kaligawe</v>
          </cell>
          <cell r="D76" t="str">
            <v>M Faizal, A Kusmantoro</v>
          </cell>
          <cell r="E76" t="str">
            <v>Science and Engineering National Seminar (SENS)</v>
          </cell>
          <cell r="F76">
            <v>2024</v>
          </cell>
          <cell r="G76">
            <v>0</v>
          </cell>
          <cell r="H76" t="str">
            <v>National Proceeding</v>
          </cell>
          <cell r="I76" t="str">
            <v>-</v>
          </cell>
        </row>
        <row r="77">
          <cell r="C77" t="str">
            <v>ANALISIS DAN PEMELIHARAAN ALAT UKUR LISTRIK</v>
          </cell>
          <cell r="D77" t="str">
            <v>FM Inzaghi, A Kusmantoro</v>
          </cell>
          <cell r="E77" t="str">
            <v>Proceeding Science and Engineering National Seminar</v>
          </cell>
          <cell r="F77">
            <v>2024</v>
          </cell>
          <cell r="G77">
            <v>0</v>
          </cell>
          <cell r="H77" t="str">
            <v>National Proceeding</v>
          </cell>
          <cell r="I77" t="str">
            <v>-</v>
          </cell>
        </row>
        <row r="78">
          <cell r="C78" t="str">
            <v>Peran dan Manfaat Capacitor Bank dalam Meningkatkan Efisiensi Sistem Kelistrikan</v>
          </cell>
          <cell r="D78" t="str">
            <v>BR Nugroho, A Kusmantoro</v>
          </cell>
          <cell r="E78" t="str">
            <v>Science and Engineering National Seminar (SENS)</v>
          </cell>
          <cell r="F78">
            <v>2024</v>
          </cell>
          <cell r="G78">
            <v>0</v>
          </cell>
          <cell r="H78" t="str">
            <v>National Proceeding</v>
          </cell>
          <cell r="I78" t="str">
            <v>-</v>
          </cell>
        </row>
        <row r="79">
          <cell r="C79" t="str">
            <v>A Comprehensive Analysis of Mask Detection using Convolutional Neural Networks (CNN) and Single Shot Multibox Detector (SSD) Approach</v>
          </cell>
          <cell r="D79" t="str">
            <v>A Kusmantoro</v>
          </cell>
          <cell r="F79">
            <v>2023</v>
          </cell>
          <cell r="G79">
            <v>0</v>
          </cell>
          <cell r="H79" t="str">
            <v>Other</v>
          </cell>
          <cell r="I79" t="str">
            <v>-</v>
          </cell>
        </row>
        <row r="80">
          <cell r="C80" t="str">
            <v>DC Microgrid Performance Improvement Strategy with DC/AC Coupling Configuration</v>
          </cell>
          <cell r="D80" t="str">
            <v>A Kusmantoro</v>
          </cell>
          <cell r="E80" t="str">
            <v>Department of Electrical and Information Engineering, Faculty of Engineering …</v>
          </cell>
          <cell r="F80">
            <v>2023</v>
          </cell>
          <cell r="G80">
            <v>0</v>
          </cell>
          <cell r="H80" t="str">
            <v>National Journal</v>
          </cell>
          <cell r="I80" t="str">
            <v>-</v>
          </cell>
        </row>
        <row r="81">
          <cell r="C81" t="str">
            <v>Effect of fuzzy logic controller on voltage stability of parallel boost converter configuration</v>
          </cell>
          <cell r="D81" t="str">
            <v>A Kusmantoro, T Hiyama</v>
          </cell>
          <cell r="E81" t="str">
            <v>Journal of Soft Computing Exploration</v>
          </cell>
          <cell r="F81">
            <v>2023</v>
          </cell>
          <cell r="G81">
            <v>0</v>
          </cell>
          <cell r="H81" t="str">
            <v>International Journal</v>
          </cell>
          <cell r="I81" t="str">
            <v>-</v>
          </cell>
        </row>
        <row r="82">
          <cell r="C82" t="str">
            <v>Bukti Korespondensi Scientific Journal of Informatics</v>
          </cell>
          <cell r="D82" t="str">
            <v>A Kusmantoro</v>
          </cell>
          <cell r="E82" t="str">
            <v>Department of Computer Science, Universitas Negeri Semarang</v>
          </cell>
          <cell r="F82">
            <v>2023</v>
          </cell>
          <cell r="G82">
            <v>0</v>
          </cell>
          <cell r="H82" t="str">
            <v>National Journal</v>
          </cell>
          <cell r="I82" t="str">
            <v>-</v>
          </cell>
        </row>
        <row r="83">
          <cell r="C83" t="str">
            <v>Hybrid Water Feedback Solutions Using Internet of Thing (Iot) Enabled Water Pumps Powered by Solar Panels</v>
          </cell>
          <cell r="D83" t="str">
            <v>B Achmad Buchori, A Kusmantoro, A Aan Burhanuddin, T Hiyama</v>
          </cell>
          <cell r="E83" t="str">
            <v>Published By Department of Computer Science Universitas Negeri Semarang</v>
          </cell>
          <cell r="F83">
            <v>2023</v>
          </cell>
          <cell r="G83">
            <v>0</v>
          </cell>
          <cell r="H83" t="str">
            <v>National Journal</v>
          </cell>
          <cell r="I83" t="str">
            <v>-</v>
          </cell>
        </row>
        <row r="84">
          <cell r="C84" t="str">
            <v>Analisa Tahanan Isolasi Transformator Daya Unit 2 (30 mva) Berdasarkan Uji Indeks Polarisasi Di PT. PLN Gardu Induk 150 KV Cepu</v>
          </cell>
          <cell r="D84" t="str">
            <v>GD Prasetyo, A Kusmantoro</v>
          </cell>
          <cell r="E84" t="str">
            <v>Science and Engineering National Seminar (SENS)</v>
          </cell>
          <cell r="F84">
            <v>2023</v>
          </cell>
          <cell r="G84">
            <v>0</v>
          </cell>
          <cell r="H84" t="str">
            <v>National Proceeding</v>
          </cell>
          <cell r="I84" t="str">
            <v>-</v>
          </cell>
        </row>
        <row r="85">
          <cell r="C85" t="str">
            <v>Simulasi Kapasitor Bank Untuk Efisiensi Daya Listrik Pada PT. Krisna Brass Indonesia</v>
          </cell>
          <cell r="D85" t="str">
            <v>JK Rachmanda, A Kusmantoro</v>
          </cell>
          <cell r="E85" t="str">
            <v>Proceeding Science and Engineering National Seminar</v>
          </cell>
          <cell r="F85">
            <v>2023</v>
          </cell>
          <cell r="G85">
            <v>0</v>
          </cell>
          <cell r="H85" t="str">
            <v>National Proceeding</v>
          </cell>
          <cell r="I85" t="str">
            <v>-</v>
          </cell>
        </row>
        <row r="86">
          <cell r="C86" t="str">
            <v>MONITORING ENERGI PANEL SURYA BERBASIS IOT UNTUK KEBUTUHAN ENERGI LISTRIK POMPA AIR</v>
          </cell>
          <cell r="D86" t="str">
            <v>A Kusmantoro</v>
          </cell>
          <cell r="F86">
            <v>2022</v>
          </cell>
          <cell r="G86">
            <v>0</v>
          </cell>
          <cell r="H86" t="str">
            <v>Other</v>
          </cell>
          <cell r="I86" t="str">
            <v>-</v>
          </cell>
        </row>
        <row r="87">
          <cell r="C87" t="str">
            <v>MONITORING ENERGI PANEL SURYA BERBASIS IOT UNTUK KEBUTUHAN ENERGI LISTRIK POMPA AIR</v>
          </cell>
          <cell r="D87" t="str">
            <v>B Achmad Buchori, A Kusmantoro</v>
          </cell>
          <cell r="E87" t="str">
            <v>LPPM UNIVERSITAS PGRI SEMARANG</v>
          </cell>
          <cell r="F87">
            <v>2022</v>
          </cell>
          <cell r="G87">
            <v>0</v>
          </cell>
          <cell r="H87" t="str">
            <v>Book/Thesis/Report</v>
          </cell>
          <cell r="I87" t="str">
            <v>-</v>
          </cell>
        </row>
        <row r="88">
          <cell r="C88" t="str">
            <v>BUKU PANDUAN PENGGUNAAN POMPA AIR TENAGA SURYA SISTEM HYBRID</v>
          </cell>
          <cell r="D88" t="str">
            <v>B Achmad Buchori, A Kusmantoro, A Aan Burhanuddin</v>
          </cell>
          <cell r="F88">
            <v>2022</v>
          </cell>
          <cell r="G88">
            <v>0</v>
          </cell>
          <cell r="H88" t="str">
            <v>Other</v>
          </cell>
          <cell r="I88" t="str">
            <v>-</v>
          </cell>
        </row>
        <row r="89">
          <cell r="C89" t="str">
            <v>Bahan Ajar Sistem Mikrogrid</v>
          </cell>
          <cell r="D89" t="str">
            <v>A Kusmantoro</v>
          </cell>
          <cell r="E89" t="str">
            <v>Kadesi Publisher Yogyakarta</v>
          </cell>
          <cell r="F89">
            <v>2022</v>
          </cell>
          <cell r="G89">
            <v>0</v>
          </cell>
          <cell r="H89" t="str">
            <v>Book/Thesis/Report</v>
          </cell>
          <cell r="I89" t="str">
            <v>-</v>
          </cell>
        </row>
        <row r="90">
          <cell r="C90" t="str">
            <v>PREDIKSI RADIASI SINAR MATAHARI DENGAN JARINGAN SYARAF TIRUAN (JST) MENGGUNAKAN METODE BACKPROPAGATION</v>
          </cell>
          <cell r="D90" t="str">
            <v>A Kusmantoro</v>
          </cell>
          <cell r="E90" t="str">
            <v>JETI (Jurnal Elektro dan Teknologi Informasi)</v>
          </cell>
          <cell r="F90">
            <v>2022</v>
          </cell>
          <cell r="G90">
            <v>0</v>
          </cell>
          <cell r="H90" t="str">
            <v>National Journal</v>
          </cell>
          <cell r="I90" t="str">
            <v>S4</v>
          </cell>
        </row>
        <row r="91">
          <cell r="C91" t="str">
            <v>IMPLEMENTASI PENGENDALIAN SUHU PADA SISTEM PASTEURISASI SUSU DENGAN METODE PID BERBASIS TEMPERATURE CONTROLLER</v>
          </cell>
          <cell r="D91" t="str">
            <v>A Kusmantoro, BH Kunaryo</v>
          </cell>
          <cell r="E91" t="str">
            <v>JETI (Jurnal Elektro dan Teknologi Informasi)</v>
          </cell>
          <cell r="F91">
            <v>2022</v>
          </cell>
          <cell r="G91">
            <v>0</v>
          </cell>
          <cell r="H91" t="str">
            <v>National Journal</v>
          </cell>
          <cell r="I91" t="str">
            <v>S4</v>
          </cell>
        </row>
        <row r="92">
          <cell r="C92" t="str">
            <v>RANCANG BUCK BOOST CONVERTER UNTUK MENGATUR ENERGI PADA BATERAI</v>
          </cell>
          <cell r="D92" t="str">
            <v>A Kusmantoro, BH Kunaryo</v>
          </cell>
          <cell r="E92" t="str">
            <v>JETI (Jurnal Elektro dan Teknologi Informasi)</v>
          </cell>
          <cell r="F92">
            <v>2022</v>
          </cell>
          <cell r="G92">
            <v>0</v>
          </cell>
          <cell r="H92" t="str">
            <v>National Journal</v>
          </cell>
          <cell r="I92" t="str">
            <v>S4</v>
          </cell>
        </row>
        <row r="93">
          <cell r="C93" t="str">
            <v>SIMULASI CONTROL MPPT PADA BOOST CONVERTER DENGAN PI</v>
          </cell>
          <cell r="D93" t="str">
            <v>A Kusmantoro</v>
          </cell>
          <cell r="E93" t="str">
            <v>JETI (Jurnal Elektro dan Teknologi Informasi)</v>
          </cell>
          <cell r="F93">
            <v>2022</v>
          </cell>
          <cell r="G93">
            <v>0</v>
          </cell>
          <cell r="H93" t="str">
            <v>National Journal</v>
          </cell>
          <cell r="I93" t="str">
            <v>S4</v>
          </cell>
        </row>
        <row r="94">
          <cell r="C94" t="str">
            <v>SISTEM PENYIMPANAN ENERGI MENGGUNAKAN SUPERKAPASITOR DENGAN BUCK CONVERTER DAN BOOST CONVERTER</v>
          </cell>
          <cell r="D94" t="str">
            <v>A Kusmantoro</v>
          </cell>
          <cell r="E94" t="str">
            <v>JETI (Jurnal Elektro dan Teknologi Informasi)</v>
          </cell>
          <cell r="F94">
            <v>2022</v>
          </cell>
          <cell r="G94">
            <v>0</v>
          </cell>
          <cell r="H94" t="str">
            <v>National Journal</v>
          </cell>
          <cell r="I94" t="str">
            <v>S4</v>
          </cell>
        </row>
        <row r="95">
          <cell r="C95" t="str">
            <v>Desain Inverter 12VDC To 220VAC Dengan Frekuensi 50Hz</v>
          </cell>
          <cell r="D95" t="str">
            <v>MEE Yulianto, A Kusmantoro, M Amiruddin</v>
          </cell>
          <cell r="E95" t="str">
            <v>Proceeding Science and Engineering National Seminar</v>
          </cell>
          <cell r="F95">
            <v>2022</v>
          </cell>
          <cell r="G95">
            <v>0</v>
          </cell>
          <cell r="H95" t="str">
            <v>National Proceeding</v>
          </cell>
          <cell r="I95" t="str">
            <v>-</v>
          </cell>
        </row>
        <row r="96">
          <cell r="C96" t="str">
            <v>Mikro Grid Dengan Strategi Koordinasi Kontrol</v>
          </cell>
          <cell r="D96" t="str">
            <v>A Kusmantoro</v>
          </cell>
          <cell r="E96" t="str">
            <v>Institut Teknologi Sepuluh Nopember</v>
          </cell>
          <cell r="F96">
            <v>2021</v>
          </cell>
          <cell r="G96">
            <v>0</v>
          </cell>
          <cell r="H96" t="str">
            <v>National Journal</v>
          </cell>
          <cell r="I96" t="str">
            <v>-</v>
          </cell>
        </row>
        <row r="97">
          <cell r="C97" t="str">
            <v>PENINGKATAN KINERJA MPPT PADA DC HOUSE DALAM SISTEM DC MIKRO GRID</v>
          </cell>
          <cell r="D97" t="str">
            <v>A Kusmantoro</v>
          </cell>
          <cell r="E97" t="str">
            <v>Seminar Nasional Hasil Penelitian dan Pengabdian Kepada Masyarakat</v>
          </cell>
          <cell r="F97">
            <v>2020</v>
          </cell>
          <cell r="G97">
            <v>0</v>
          </cell>
          <cell r="H97" t="str">
            <v>National Proceeding</v>
          </cell>
          <cell r="I97" t="str">
            <v>S3-S5</v>
          </cell>
        </row>
        <row r="98">
          <cell r="C98" t="str">
            <v>Studi Eksplanatori dan Konfirmatori Tentang Kompetensi Tenaga Pendidik Berdasarkan Injil Yohanes di Kalangan Dosen Universitas PGRI Semarang (Explanatory And Confirmatory Study …</v>
          </cell>
          <cell r="D98" t="str">
            <v>A Kusmantoro, M Daliman, R Kristiawan, G Gidion</v>
          </cell>
          <cell r="E98" t="str">
            <v>QUAERENS: Journal of Theology and Christianity Studies</v>
          </cell>
          <cell r="F98">
            <v>2020</v>
          </cell>
          <cell r="G98">
            <v>0</v>
          </cell>
          <cell r="H98" t="str">
            <v>National Journal</v>
          </cell>
          <cell r="I98" t="str">
            <v>-</v>
          </cell>
        </row>
        <row r="99">
          <cell r="C99" t="str">
            <v>Design of Fuzzy Logic Controller for The Pump Submersible to Save Electric</v>
          </cell>
          <cell r="D99" t="str">
            <v>A Kusmantoro</v>
          </cell>
          <cell r="F99">
            <v>2019</v>
          </cell>
          <cell r="G99">
            <v>0</v>
          </cell>
          <cell r="H99" t="str">
            <v>Other</v>
          </cell>
          <cell r="I99" t="str">
            <v>-</v>
          </cell>
        </row>
        <row r="100">
          <cell r="C100" t="str">
            <v>PERENCANAAN SUMBER ENERGI MATAHARI DI GEDUNG UTAMA UNIVERSITAS PGRI SEMARANG DENGAN SISTEM ON-GRID</v>
          </cell>
          <cell r="D100" t="str">
            <v>A Kusmantoro, M Novita</v>
          </cell>
          <cell r="E100" t="str">
            <v>Prosiding Sains Nasional dan Teknologi</v>
          </cell>
          <cell r="F100">
            <v>2019</v>
          </cell>
          <cell r="G100">
            <v>0</v>
          </cell>
          <cell r="H100" t="str">
            <v>National Proceeding</v>
          </cell>
          <cell r="I100" t="str">
            <v>-</v>
          </cell>
        </row>
        <row r="101">
          <cell r="C101" t="str">
            <v>PENINGKATAN KINERJA MPPT PADA DC HOUSE DENGAN FUZZY-PID DALAM SISTEM DC MIKRO GRID</v>
          </cell>
          <cell r="D101" t="str">
            <v>A Kusmantoro</v>
          </cell>
          <cell r="E101" t="str">
            <v>Universitas PGRI Semarang</v>
          </cell>
          <cell r="F101">
            <v>2019</v>
          </cell>
          <cell r="G101">
            <v>0</v>
          </cell>
          <cell r="H101" t="str">
            <v>National Journal</v>
          </cell>
          <cell r="I101" t="str">
            <v>-</v>
          </cell>
        </row>
        <row r="102">
          <cell r="C102" t="str">
            <v>Desain Sistem Hybrid Sumber Listrik Satu Fasa Pada Rumah Tinggal</v>
          </cell>
          <cell r="D102" t="str">
            <v>A Kusmantoro, A Nuwolo, K Hasto</v>
          </cell>
          <cell r="E102" t="str">
            <v>Universitas PGRI Semarang</v>
          </cell>
          <cell r="F102">
            <v>2018</v>
          </cell>
          <cell r="G102">
            <v>0</v>
          </cell>
          <cell r="H102" t="str">
            <v>National Journal</v>
          </cell>
          <cell r="I102" t="str">
            <v>-</v>
          </cell>
        </row>
        <row r="103">
          <cell r="C103" t="str">
            <v>IBM BAGI WARGA PERUMAHAN BINTANG JAYA ASRI KELURAHAN NGALIYAN SEMARANG</v>
          </cell>
          <cell r="D103" t="str">
            <v>A Kusmantoro, A Nuwolo, T Indriati</v>
          </cell>
          <cell r="E103" t="str">
            <v>SEMINAR NASIONAL HASIL-HASIL PENGABDIAN 2017</v>
          </cell>
          <cell r="F103">
            <v>2017</v>
          </cell>
          <cell r="G103">
            <v>0</v>
          </cell>
          <cell r="H103" t="str">
            <v>National Proceeding</v>
          </cell>
          <cell r="I103" t="str">
            <v>S3-S5</v>
          </cell>
        </row>
        <row r="104">
          <cell r="C104" t="str">
            <v>KINERJA PENGENDALI PID TK4S-T4SN PADA MOTOR POMPA SUBMERSIBLE DENGAN KAPASITOR START DAN RUN</v>
          </cell>
          <cell r="D104" t="str">
            <v>A Kusmantoro</v>
          </cell>
          <cell r="F104">
            <v>2016</v>
          </cell>
          <cell r="G104">
            <v>0</v>
          </cell>
          <cell r="H104" t="str">
            <v>Other</v>
          </cell>
          <cell r="I104" t="str">
            <v>-</v>
          </cell>
        </row>
        <row r="105">
          <cell r="C105" t="str">
            <v>PENGENDALIAN GENERATOR DAN POMPA PENGENDALI BANJIR MENGGUNAKAN PLC ZELIO SR2B201FU</v>
          </cell>
          <cell r="D105" t="str">
            <v>A Kusmantoro</v>
          </cell>
          <cell r="F105">
            <v>2015</v>
          </cell>
          <cell r="G105">
            <v>0</v>
          </cell>
          <cell r="H105" t="str">
            <v>Other</v>
          </cell>
          <cell r="I105" t="str">
            <v>-</v>
          </cell>
        </row>
        <row r="106">
          <cell r="C106" t="str">
            <v>DESIGN PWM SINUSOIDAL ANALOG SINGLE PHASE INVERTER BASED OP-AMP</v>
          </cell>
          <cell r="D106" t="str">
            <v>A KUSMANTORO, SRI SUKAMTA, A NUWOLO</v>
          </cell>
          <cell r="E106" t="str">
            <v>semnas_2015</v>
          </cell>
          <cell r="F106">
            <v>2015</v>
          </cell>
          <cell r="G106">
            <v>0</v>
          </cell>
          <cell r="H106" t="str">
            <v>National Proceeding</v>
          </cell>
          <cell r="I106" t="str">
            <v>-</v>
          </cell>
        </row>
        <row r="107">
          <cell r="C107" t="str">
            <v>RANCANG BANGUN KAPASITOR BANK PADA JARINGAN LISTRIK GEDUNG UNIVERSITAS PGRI SEMARANG</v>
          </cell>
          <cell r="D107" t="str">
            <v>A Kusmantoro</v>
          </cell>
          <cell r="F107">
            <v>2015</v>
          </cell>
          <cell r="G107">
            <v>0</v>
          </cell>
          <cell r="H107" t="str">
            <v>Other</v>
          </cell>
          <cell r="I107" t="str">
            <v>-</v>
          </cell>
        </row>
        <row r="108">
          <cell r="C108" t="str">
            <v>Ibm Bagi Guru Listrik dan Elektronika di Smk Pelita Nusantara 2 Semarang</v>
          </cell>
          <cell r="D108" t="str">
            <v>A Nuwolo, A Kusmantoro</v>
          </cell>
          <cell r="E108" t="str">
            <v>E-Dimas: Jurnal Pengabdian kepada Masyarakat</v>
          </cell>
          <cell r="F108">
            <v>2015</v>
          </cell>
          <cell r="G108">
            <v>0</v>
          </cell>
          <cell r="H108" t="str">
            <v>Community Service Journal</v>
          </cell>
          <cell r="I108" t="str">
            <v>S3-S5</v>
          </cell>
        </row>
        <row r="109">
          <cell r="C109" t="str">
            <v>PENGGUNAAN TEKNIK INFRARED THERMOGRAPHY UNTUK MENGETAHUI KINERJA PANEL UTAMA PT. BINTANG GASING PERSADA</v>
          </cell>
          <cell r="D109" t="str">
            <v>A Kusmantoro</v>
          </cell>
          <cell r="F109">
            <v>2014</v>
          </cell>
          <cell r="G109">
            <v>0</v>
          </cell>
          <cell r="H109" t="str">
            <v>Other</v>
          </cell>
          <cell r="I109" t="str">
            <v>-</v>
          </cell>
        </row>
        <row r="110">
          <cell r="C110" t="str">
            <v>PENGGUNAAN VSD PADA POMPA BOOSTER UNTUK PENGHEMATAN PEMAKAIAN DAYA LISTRIK</v>
          </cell>
          <cell r="D110" t="str">
            <v>A Kusmantoro</v>
          </cell>
          <cell r="F110">
            <v>2014</v>
          </cell>
          <cell r="G110">
            <v>0</v>
          </cell>
          <cell r="H110" t="str">
            <v>Other</v>
          </cell>
          <cell r="I110" t="str">
            <v>-</v>
          </cell>
        </row>
        <row r="111">
          <cell r="C111" t="str">
            <v>Perancangan Interfacing Komputer</v>
          </cell>
          <cell r="D111" t="str">
            <v>A Kusmantoro</v>
          </cell>
          <cell r="E111" t="str">
            <v>Jurnal Transformatika</v>
          </cell>
          <cell r="F111">
            <v>2006</v>
          </cell>
          <cell r="G111">
            <v>0</v>
          </cell>
          <cell r="H111" t="str">
            <v>National Journal</v>
          </cell>
          <cell r="I111" t="str">
            <v>-</v>
          </cell>
        </row>
        <row r="112">
          <cell r="C112" t="str">
            <v>Kinerja pendulum terbalik dengan logika fuzi</v>
          </cell>
          <cell r="D112" t="str">
            <v>A KUSMANTORO</v>
          </cell>
          <cell r="E112" t="str">
            <v>Universitas Gadjah Mada</v>
          </cell>
          <cell r="F112">
            <v>2004</v>
          </cell>
          <cell r="G112">
            <v>0</v>
          </cell>
          <cell r="H112" t="str">
            <v>National Journal</v>
          </cell>
          <cell r="I112" t="str">
            <v>-</v>
          </cell>
        </row>
        <row r="113">
          <cell r="C113" t="str">
            <v>Journal of Soft Computing Exploration</v>
          </cell>
          <cell r="D113" t="str">
            <v>A Kusmantoro, T Hiyama</v>
          </cell>
          <cell r="G113">
            <v>0</v>
          </cell>
          <cell r="H113" t="str">
            <v>Other</v>
          </cell>
          <cell r="I113" t="str">
            <v>-</v>
          </cell>
        </row>
        <row r="114">
          <cell r="C114" t="str">
            <v>Freight elevators controlling four floors with Zelio PLC SR3B261FU and VSD ATV71Lift for Saving Energy Universitas PGRI Semarang</v>
          </cell>
          <cell r="D114" t="str">
            <v>A Kusmantoro, A Nuwolo</v>
          </cell>
          <cell r="G114">
            <v>0</v>
          </cell>
          <cell r="H114" t="str">
            <v>Other</v>
          </cell>
          <cell r="I114" t="str">
            <v>-</v>
          </cell>
        </row>
        <row r="115">
          <cell r="C115" t="str">
            <v>Design starting capasitor motor submersible pump with Zelio SR2B121FU</v>
          </cell>
          <cell r="D115" t="str">
            <v>A Kusmantoro, A Nuwolo</v>
          </cell>
          <cell r="G115">
            <v>0</v>
          </cell>
          <cell r="H115" t="str">
            <v>Other</v>
          </cell>
          <cell r="I115" t="str">
            <v>-</v>
          </cell>
        </row>
        <row r="116">
          <cell r="C116" t="str">
            <v>Project-based learning via traditional game in physics learning: Its impact on critical thinking, creative thinking, and collaborative skills</v>
          </cell>
          <cell r="D116" t="str">
            <v>N Khoiri, S Ristanto, AF Kurniawan</v>
          </cell>
          <cell r="E116" t="str">
            <v>Jurnal Pendidikan IPA Indonesia</v>
          </cell>
          <cell r="F116">
            <v>2023</v>
          </cell>
          <cell r="G116">
            <v>91</v>
          </cell>
          <cell r="H116" t="str">
            <v>National Journal</v>
          </cell>
          <cell r="I116" t="str">
            <v>S1</v>
          </cell>
        </row>
        <row r="117">
          <cell r="C117" t="str">
            <v>Structural study on graphene-based particles prepared from old coconut shell by acid–assisted mechanical exfoliation</v>
          </cell>
          <cell r="D117" t="str">
            <v>MA Baqiya, AY Nugraheni, W Islamiyah, AF Kurniawan, MM Ramli, ...</v>
          </cell>
          <cell r="E117" t="str">
            <v>Advanced Powder Technology</v>
          </cell>
          <cell r="F117">
            <v>2020</v>
          </cell>
          <cell r="G117">
            <v>62</v>
          </cell>
          <cell r="H117" t="str">
            <v>International Journal</v>
          </cell>
          <cell r="I117" t="str">
            <v>-</v>
          </cell>
        </row>
        <row r="118">
          <cell r="C118" t="str">
            <v>Pengaruh model discovery learning pada mata pelajaran IPA terpadu terhadap penguasaan literasi sains siswa</v>
          </cell>
          <cell r="D118" t="str">
            <v>U Ulfa, E Saptaningrum, AF Kurniawan</v>
          </cell>
          <cell r="E118" t="str">
            <v>Prosiding SNFA (Seminar Nasional Fisika Dan Aplikasinya)</v>
          </cell>
          <cell r="F118">
            <v>2017</v>
          </cell>
          <cell r="G118">
            <v>42</v>
          </cell>
          <cell r="H118" t="str">
            <v>National Proceeding</v>
          </cell>
          <cell r="I118" t="str">
            <v>-</v>
          </cell>
        </row>
        <row r="119">
          <cell r="C119" t="str">
            <v>Profil penguasaan literasi sains berdasarkan kerangka PISA (Programme for International Student Assessment) pada siswa SMP Negeri se-Kota Semarang tahun 2022</v>
          </cell>
          <cell r="D119" t="str">
            <v>E Saptaningrum, D Nuvitalia, AF Kurniawan, NE Putri</v>
          </cell>
          <cell r="E119" t="str">
            <v>Jurnal Penelitian Pembelajaran Fisika</v>
          </cell>
          <cell r="F119">
            <v>2023</v>
          </cell>
          <cell r="G119">
            <v>23</v>
          </cell>
          <cell r="H119" t="str">
            <v>National Journal</v>
          </cell>
          <cell r="I119" t="str">
            <v>-</v>
          </cell>
        </row>
        <row r="120">
          <cell r="C120" t="str">
            <v>Thickness optimization of a double-layered microwave absorber combining magnetic and dielectric particles</v>
          </cell>
          <cell r="D120" t="str">
            <v>AF Kurniawan, MS Anwar, K Nadiyyah, M Mashuri, T Triwikantoro, ...</v>
          </cell>
          <cell r="E120" t="str">
            <v>Materials Research Express</v>
          </cell>
          <cell r="F120">
            <v>2021</v>
          </cell>
          <cell r="G120">
            <v>16</v>
          </cell>
          <cell r="H120" t="str">
            <v>International Journal</v>
          </cell>
          <cell r="I120" t="str">
            <v>-</v>
          </cell>
        </row>
        <row r="121">
          <cell r="C121" t="str">
            <v>Development of multi-representation learning tools for the course of fundamental physics</v>
          </cell>
          <cell r="D121" t="str">
            <v>C Huda, J Siswanto, AF Kurniawan, H Nuroso</v>
          </cell>
          <cell r="E121" t="str">
            <v>Journal of Physics: Conference Series</v>
          </cell>
          <cell r="F121">
            <v>2016</v>
          </cell>
          <cell r="G121">
            <v>15</v>
          </cell>
          <cell r="H121" t="str">
            <v>International Proceeding</v>
          </cell>
          <cell r="I121" t="str">
            <v>-</v>
          </cell>
        </row>
        <row r="122">
          <cell r="C122" t="str">
            <v>Reduction of peroxide value and free fatty acid value of used frying oil using TiO2 thin film photocatalyst</v>
          </cell>
          <cell r="D122" t="str">
            <v>U Kaltsum, AF Kurniawan, I Nurhasanah, P Priyono</v>
          </cell>
          <cell r="E122" t="str">
            <v>Bulletin of Chemical Reaction Engineering &amp; Catalysis</v>
          </cell>
          <cell r="F122">
            <v>2016</v>
          </cell>
          <cell r="G122">
            <v>14</v>
          </cell>
          <cell r="H122" t="str">
            <v>International Journal</v>
          </cell>
          <cell r="I122" t="str">
            <v>-</v>
          </cell>
        </row>
        <row r="123">
          <cell r="C123" t="str">
            <v>Thermoacoustic design using stem of goose down stack</v>
          </cell>
          <cell r="D123" t="str">
            <v>I Farikhah, S Ristanto, H Idrus, U Kaltsum, A Faisal, I Setiawan, ...</v>
          </cell>
          <cell r="E123" t="str">
            <v>AIP Conference Proceedings</v>
          </cell>
          <cell r="F123">
            <v>2012</v>
          </cell>
          <cell r="G123">
            <v>13</v>
          </cell>
          <cell r="H123" t="str">
            <v>International Proceeding</v>
          </cell>
          <cell r="I123" t="str">
            <v>-</v>
          </cell>
        </row>
        <row r="124">
          <cell r="C124" t="str">
            <v>Analisis validasi e-LKPD berbasis PBL pada topik pengukuran besaran fisis kelas X SLTA</v>
          </cell>
          <cell r="D124" t="str">
            <v>N Khoiri, AF Kurniawan, EY Ismawati</v>
          </cell>
          <cell r="E124" t="str">
            <v>Jurnal Penelitian Pembelajaran Fisika</v>
          </cell>
          <cell r="F124">
            <v>2023</v>
          </cell>
          <cell r="G124">
            <v>9</v>
          </cell>
          <cell r="H124" t="str">
            <v>National Journal</v>
          </cell>
          <cell r="I124" t="str">
            <v>-</v>
          </cell>
        </row>
        <row r="125">
          <cell r="C125" t="str">
            <v>Digital physics module for 21st century education on new and Renewable energy based on the Dilemma-STEAM learning model</v>
          </cell>
          <cell r="D125" t="str">
            <v>H Nasbey, RA Sirait, AF Kurniawan, A Samsudin, A Fadlan</v>
          </cell>
          <cell r="E125" t="str">
            <v>Journal of Physics: Conference Series</v>
          </cell>
          <cell r="F125">
            <v>2024</v>
          </cell>
          <cell r="G125">
            <v>8</v>
          </cell>
          <cell r="H125" t="str">
            <v>International Proceeding</v>
          </cell>
          <cell r="I125" t="str">
            <v>-</v>
          </cell>
        </row>
        <row r="126">
          <cell r="C126" t="str">
            <v>Kajian literatur: Penggunaan simulasi phet dalam pembelajaran fisika</v>
          </cell>
          <cell r="D126" t="str">
            <v>PA Rararati, H Nuroso, AF Kurniawan</v>
          </cell>
          <cell r="E126" t="str">
            <v>Lontar Physics Today</v>
          </cell>
          <cell r="F126">
            <v>2024</v>
          </cell>
          <cell r="G126">
            <v>8</v>
          </cell>
          <cell r="H126" t="str">
            <v>National Journal</v>
          </cell>
          <cell r="I126" t="str">
            <v>S3</v>
          </cell>
        </row>
        <row r="127">
          <cell r="C127" t="str">
            <v>Mechanical exfoliation of reduced graphene oxide from old coconut shell as radar absorber in X-band</v>
          </cell>
          <cell r="D127" t="str">
            <v>AF Kurniawan, MS Anwar, K Nadiyyah, M Mashuri, T Triwikantoro, ...</v>
          </cell>
          <cell r="E127" t="str">
            <v>Materials Science Forum</v>
          </cell>
          <cell r="F127">
            <v>2019</v>
          </cell>
          <cell r="G127">
            <v>8</v>
          </cell>
          <cell r="H127" t="str">
            <v>International Journal</v>
          </cell>
          <cell r="I127" t="str">
            <v>-</v>
          </cell>
        </row>
        <row r="128">
          <cell r="C128" t="str">
            <v>Pendampingan Pengembangan Keprofesian Berkelanjutan Bagi Guru IPA SMP Kota Semarang</v>
          </cell>
          <cell r="D128" t="str">
            <v>N Khoiri, AF Kurniawan, S Ristanto</v>
          </cell>
          <cell r="E128" t="str">
            <v>Seminar Nasional Hasil Penelitian dan Pengabdian Kepada Masyarakat</v>
          </cell>
          <cell r="F128">
            <v>2022</v>
          </cell>
          <cell r="G128">
            <v>7</v>
          </cell>
          <cell r="H128" t="str">
            <v>National Proceeding</v>
          </cell>
          <cell r="I128" t="str">
            <v>S3-S5</v>
          </cell>
        </row>
        <row r="129">
          <cell r="C129" t="str">
            <v>The role of concentration ratio of ttip: acac on the photocatalytic activity of Tio2 thin film in reducing degradation products of used frying oil</v>
          </cell>
          <cell r="D129" t="str">
            <v>U Kaltsum, AF Kurniawan, I Nurhasanah, P Priyono</v>
          </cell>
          <cell r="E129" t="str">
            <v>Bulletin of Chemical Reaction Engineering &amp; Catalysis</v>
          </cell>
          <cell r="F129">
            <v>2017</v>
          </cell>
          <cell r="G129">
            <v>6</v>
          </cell>
          <cell r="H129" t="str">
            <v>International Journal</v>
          </cell>
          <cell r="I129" t="str">
            <v>-</v>
          </cell>
        </row>
        <row r="130">
          <cell r="C130" t="str">
            <v>Pengaruh Model Pembelajaran Aktif dengan Metode The Power Of Two dan Make A Match Terhadap Hasil Belajar Siswa Kelas X SMA Negeri 1 Sale</v>
          </cell>
          <cell r="D130" t="str">
            <v>CD Ayuningtyas, NAN Murniati, AF Kurniawan</v>
          </cell>
          <cell r="E130" t="str">
            <v>lpf2013</v>
          </cell>
          <cell r="F130">
            <v>2013</v>
          </cell>
          <cell r="G130">
            <v>6</v>
          </cell>
          <cell r="H130" t="str">
            <v>National Journal</v>
          </cell>
          <cell r="I130" t="str">
            <v>-</v>
          </cell>
        </row>
        <row r="131">
          <cell r="C131" t="str">
            <v>Preparation and Thickness Optimization of Graphenic-Based Carbon Material as a Microwave Absorber</v>
          </cell>
          <cell r="D131" t="str">
            <v>AF Kurniawan, MS Anwar, K Nadiyyah, Y Taryana, MM Ramli, M Mashuri, ...</v>
          </cell>
          <cell r="E131" t="str">
            <v>Trends in Sciences</v>
          </cell>
          <cell r="F131">
            <v>2022</v>
          </cell>
          <cell r="G131">
            <v>4</v>
          </cell>
          <cell r="H131" t="str">
            <v>International Journal</v>
          </cell>
          <cell r="I131" t="str">
            <v>-</v>
          </cell>
        </row>
        <row r="132">
          <cell r="C132" t="str">
            <v>Pengukuran indeks ultraviolet matahari dan atenuasinya oleh beberapa bahan untuk rekomendasi waktu aman berjemur</v>
          </cell>
          <cell r="D132" t="str">
            <v>S Ristanto, C Huda, AF Kurniawan</v>
          </cell>
          <cell r="E132" t="str">
            <v>Indonesian Journal of Applied Physics</v>
          </cell>
          <cell r="F132">
            <v>2021</v>
          </cell>
          <cell r="G132">
            <v>4</v>
          </cell>
          <cell r="H132" t="str">
            <v>National Journal</v>
          </cell>
          <cell r="I132" t="str">
            <v>S3</v>
          </cell>
        </row>
        <row r="133">
          <cell r="C133" t="str">
            <v>Analisis proses literasi informasi pada media sosial (Studi kasus akun twitter@ Sujufor_Elfindo Komunitas Penggemar Super Junior di Indonesia)</v>
          </cell>
          <cell r="D133" t="str">
            <v>LM Ningtias, AT Kurniawan</v>
          </cell>
          <cell r="E133" t="str">
            <v>Jurnal Ilmu Perpustakaan</v>
          </cell>
          <cell r="F133">
            <v>2016</v>
          </cell>
          <cell r="G133">
            <v>4</v>
          </cell>
          <cell r="H133" t="str">
            <v>National Journal</v>
          </cell>
          <cell r="I133" t="str">
            <v>-</v>
          </cell>
        </row>
        <row r="134">
          <cell r="C134" t="str">
            <v>Model Pengembangan Kompetensi Profesional Guru Fisika Kota Semarang Pasca Sertifikasi Melalui MGMP</v>
          </cell>
          <cell r="D134" t="str">
            <v>AF Kurniawan, NAN Murniati, N Khoiri</v>
          </cell>
          <cell r="E134" t="str">
            <v>Jurnal Penelitian Pembelajaran Fisika</v>
          </cell>
          <cell r="F134">
            <v>2011</v>
          </cell>
          <cell r="G134">
            <v>4</v>
          </cell>
          <cell r="H134" t="str">
            <v>National Journal</v>
          </cell>
          <cell r="I134" t="str">
            <v>-</v>
          </cell>
        </row>
        <row r="135">
          <cell r="C135" t="str">
            <v>Pemanfaatan Penginderaan Jauh Dan Sistem Informasi Geografis Untuk Pembuatan Peta Rawan Bencana Tanah Longsor (Studi Kasus: Kabupaten Situbondo)</v>
          </cell>
          <cell r="D135" t="str">
            <v>AF Kurniawan</v>
          </cell>
          <cell r="E135" t="str">
            <v>Teknik Geomatika. Institut Teknologi Sepuluh Nopember Surabaya</v>
          </cell>
          <cell r="F135">
            <v>2005</v>
          </cell>
          <cell r="G135">
            <v>4</v>
          </cell>
          <cell r="H135" t="str">
            <v>National Journal</v>
          </cell>
          <cell r="I135" t="str">
            <v>-</v>
          </cell>
        </row>
        <row r="136">
          <cell r="C136" t="str">
            <v>The Effectiveness of the Dilemma-STEAM Learning Model Based on Motion Graphic Videos in the Subject of Parabolic Motion</v>
          </cell>
          <cell r="D136" t="str">
            <v>H Nasbey, NP Apriliani, AF Kurniawan, A Samsudin, A Fadlan</v>
          </cell>
          <cell r="E136" t="str">
            <v>Journal of Physics: Conference Series</v>
          </cell>
          <cell r="F136">
            <v>2024</v>
          </cell>
          <cell r="G136">
            <v>3</v>
          </cell>
          <cell r="H136" t="str">
            <v>International Proceeding</v>
          </cell>
          <cell r="I136" t="str">
            <v>-</v>
          </cell>
        </row>
        <row r="137">
          <cell r="C137" t="str">
            <v>Revitalizing circular motion topic learning through android application based on transformative learning</v>
          </cell>
          <cell r="D137" t="str">
            <v>H Nasbey, AF Kurniawan, AR Kusumadianti</v>
          </cell>
          <cell r="E137" t="str">
            <v>Journal of Physics: Conference Series</v>
          </cell>
          <cell r="F137">
            <v>2023</v>
          </cell>
          <cell r="G137">
            <v>3</v>
          </cell>
          <cell r="H137" t="str">
            <v>International Proceeding</v>
          </cell>
          <cell r="I137" t="str">
            <v>-</v>
          </cell>
        </row>
        <row r="138">
          <cell r="C138" t="str">
            <v>Penguatan Keterampilan Abad 21 Melalui Perancangan Alat Peraga Pembelajaran Fisika Berorientasi Merancang Kegiatan Laboratorium-Keterampilan Generik Sains (MKL-KGS):-</v>
          </cell>
          <cell r="D138" t="str">
            <v>N Khoiri, AF Kurniawan, S Ristanto</v>
          </cell>
          <cell r="E138" t="str">
            <v>Jurnal Pengabdian Dan Peningkatan Mutu Masyarakat (Janayu)</v>
          </cell>
          <cell r="F138">
            <v>2023</v>
          </cell>
          <cell r="G138">
            <v>3</v>
          </cell>
          <cell r="H138" t="str">
            <v>Community Service Journal</v>
          </cell>
          <cell r="I138" t="str">
            <v>S3-S5</v>
          </cell>
        </row>
        <row r="139">
          <cell r="C139" t="str">
            <v>Profile of Students’ Conceptual Understanding of Physics in Senior High School</v>
          </cell>
          <cell r="D139" t="str">
            <v>N Khoiri, S Ristanto, AF Kurniawan</v>
          </cell>
          <cell r="E139" t="str">
            <v>Jurnal Penelitian &amp; Pengembangan Pendidikan Fisika</v>
          </cell>
          <cell r="F139">
            <v>2022</v>
          </cell>
          <cell r="G139">
            <v>3</v>
          </cell>
          <cell r="H139" t="str">
            <v>National Journal</v>
          </cell>
          <cell r="I139" t="str">
            <v>S2</v>
          </cell>
        </row>
        <row r="140">
          <cell r="C140" t="str">
            <v>Chemical exfoliation and microwave absorption of reduced graphene oxide synthesized from old coconut shells</v>
          </cell>
          <cell r="D140" t="str">
            <v>AF Kurniawan, K Nadiyyah, MS Anwar, R Andika Ajiesastra, Mashuri, ...</v>
          </cell>
          <cell r="E140" t="str">
            <v>Journal of Physics: Conference Series</v>
          </cell>
          <cell r="F140">
            <v>2021</v>
          </cell>
          <cell r="G140">
            <v>3</v>
          </cell>
          <cell r="H140" t="str">
            <v>International Proceeding</v>
          </cell>
          <cell r="I140" t="str">
            <v>-</v>
          </cell>
        </row>
        <row r="141">
          <cell r="C141" t="str">
            <v>Pengujian Sifat Fotokatalis Lapisan Tipis TiO2 pada Produk Degradasi Jelantah Menggunakan Elektrooptis</v>
          </cell>
          <cell r="D141" t="str">
            <v>U Kaltsum, AF Kurniawan, P Priyono, I Nurhasanah</v>
          </cell>
          <cell r="E141" t="str">
            <v>Jurnal Penelitian Fisika dan Aplikasinya (JPFA)</v>
          </cell>
          <cell r="F141">
            <v>2017</v>
          </cell>
          <cell r="G141">
            <v>3</v>
          </cell>
          <cell r="H141" t="str">
            <v>National Journal</v>
          </cell>
          <cell r="I141" t="str">
            <v>S2</v>
          </cell>
        </row>
        <row r="142">
          <cell r="C142" t="str">
            <v>Microstructural and Carbon Phase Analysis of Water Hyacinth Derived Biochar under Particle Size Variation</v>
          </cell>
          <cell r="D142" t="str">
            <v>DA Putri, Y Taryana, S Ristanto, N Khoiri, AF Kurniawan</v>
          </cell>
          <cell r="E142" t="str">
            <v>Lontar Physics Today</v>
          </cell>
          <cell r="F142">
            <v>2026</v>
          </cell>
          <cell r="G142">
            <v>2</v>
          </cell>
          <cell r="H142" t="str">
            <v>National Journal</v>
          </cell>
          <cell r="I142" t="str">
            <v>S3</v>
          </cell>
        </row>
        <row r="143">
          <cell r="C143" t="str">
            <v>Reasons for Students Interest in Learning Physics Subjects in Senior High School</v>
          </cell>
          <cell r="D143" t="str">
            <v>AF Kurniawan, S Ristanto, N Khoiri</v>
          </cell>
          <cell r="E143" t="str">
            <v>Jurnal Penelitian &amp; Pengembangan Pendidikan Fisika</v>
          </cell>
          <cell r="F143">
            <v>2023</v>
          </cell>
          <cell r="G143">
            <v>2</v>
          </cell>
          <cell r="H143" t="str">
            <v>National Journal</v>
          </cell>
          <cell r="I143" t="str">
            <v>S2</v>
          </cell>
        </row>
        <row r="144">
          <cell r="C144" t="str">
            <v>Practicum Ticker Timer with Inquiry Approach to Improve Student Learning Outcomes</v>
          </cell>
          <cell r="D144" t="str">
            <v>N Khoiri, S Respayanti, AF Kurniawan, S Ristanto</v>
          </cell>
          <cell r="E144" t="str">
            <v>Jurnal Penelitian Pendidikan IPA</v>
          </cell>
          <cell r="F144">
            <v>2023</v>
          </cell>
          <cell r="G144">
            <v>2</v>
          </cell>
          <cell r="H144" t="str">
            <v>National Journal</v>
          </cell>
          <cell r="I144" t="str">
            <v>S1</v>
          </cell>
        </row>
        <row r="145">
          <cell r="C145" t="str">
            <v>Pembelajaran Kinetik Gas dengan Pendekatan Lifeskill untuk Mengajarkan Keterampilan Komunikasi</v>
          </cell>
          <cell r="D145" t="str">
            <v>N Khoiri, AF Kurniawan, S Ristanto, SP Martina</v>
          </cell>
          <cell r="E145" t="str">
            <v>Jurnal Penelitian Pembelajaran Fisika</v>
          </cell>
          <cell r="F145">
            <v>2022</v>
          </cell>
          <cell r="G145">
            <v>2</v>
          </cell>
          <cell r="H145" t="str">
            <v>National Journal</v>
          </cell>
          <cell r="I145" t="str">
            <v>-</v>
          </cell>
        </row>
        <row r="146">
          <cell r="C146" t="str">
            <v>Innovation of Spectroscope Teaching Aid in Physics Learning: STEM Integration for Enhancing Conceptual Understanding of Light</v>
          </cell>
          <cell r="D146" t="str">
            <v>H Nasbey, TP Nurdiansyah, AF Kurniawan, A Samsudin, A Fadlan, ...</v>
          </cell>
          <cell r="E146" t="str">
            <v>Journal of Physics: Conference Series</v>
          </cell>
          <cell r="F146">
            <v>2025</v>
          </cell>
          <cell r="G146">
            <v>1</v>
          </cell>
          <cell r="H146" t="str">
            <v>International Proceeding</v>
          </cell>
          <cell r="I146" t="str">
            <v>-</v>
          </cell>
        </row>
        <row r="147">
          <cell r="C147" t="str">
            <v>Effectiveness of implementing deep learning approach using PBL with PhET simulation on students’ interest and collaboration</v>
          </cell>
          <cell r="D147" t="str">
            <v>J Julia, N Khoiri, AF Kurniawan, S Ristanto</v>
          </cell>
          <cell r="E147" t="str">
            <v>Physics Education</v>
          </cell>
          <cell r="F147">
            <v>2025</v>
          </cell>
          <cell r="G147">
            <v>1</v>
          </cell>
          <cell r="H147" t="str">
            <v>National Journal</v>
          </cell>
          <cell r="I147" t="str">
            <v>-</v>
          </cell>
        </row>
        <row r="148">
          <cell r="C148" t="str">
            <v>Thickness optimization of a triple-layered microwave absorber combining magnetic and dielectric particles</v>
          </cell>
          <cell r="D148" t="str">
            <v>AF Kurniawan, MS Anwar, K Nadiyyah, IGN Nitya</v>
          </cell>
          <cell r="E148" t="str">
            <v>Asia-Pacific Journal of Science and Technology</v>
          </cell>
          <cell r="F148">
            <v>2025</v>
          </cell>
          <cell r="G148">
            <v>1</v>
          </cell>
          <cell r="H148" t="str">
            <v>International Journal</v>
          </cell>
          <cell r="I148" t="str">
            <v>-</v>
          </cell>
        </row>
        <row r="149">
          <cell r="C149" t="str">
            <v>Computational Analysis of Electrical Impedance Spectroscopy for Margin Tissue Detection in Laparoscopic Liver Resection</v>
          </cell>
          <cell r="D149" t="str">
            <v>S Sulistia, R Riyanto, P Busono, AF Kurniawan, J Saefan, W Kurniawan, ...</v>
          </cell>
          <cell r="E149" t="str">
            <v>Jurnal Elektronika dan Telekomunikasi</v>
          </cell>
          <cell r="F149">
            <v>2024</v>
          </cell>
          <cell r="G149">
            <v>1</v>
          </cell>
          <cell r="H149" t="str">
            <v>National Journal</v>
          </cell>
          <cell r="I149" t="str">
            <v>S1</v>
          </cell>
        </row>
        <row r="150">
          <cell r="C150" t="str">
            <v>The effect of waste tire oil and pertamina dex oil blends on compression ignition engine performance</v>
          </cell>
          <cell r="D150" t="str">
            <v>Khairil, AF Kurniawan, M Ali, SE Sofyan</v>
          </cell>
          <cell r="E150" t="str">
            <v>IOP Conference Series: Earth and Environmental Science</v>
          </cell>
          <cell r="F150">
            <v>2024</v>
          </cell>
          <cell r="G150">
            <v>1</v>
          </cell>
          <cell r="H150" t="str">
            <v>International Proceeding</v>
          </cell>
          <cell r="I150" t="str">
            <v>-</v>
          </cell>
        </row>
        <row r="151">
          <cell r="C151" t="str">
            <v>Pendekatan Neural Network pada Gerak Unstretch Bungee Jumping Menggunakan Metode Euler</v>
          </cell>
          <cell r="D151" t="str">
            <v>T Wahyuni, F Armawanto, DA Faradita, N Khoiri, AF Kurniawan, J Saefan</v>
          </cell>
          <cell r="E151" t="str">
            <v>Lontar Physics Today</v>
          </cell>
          <cell r="F151">
            <v>2023</v>
          </cell>
          <cell r="G151">
            <v>1</v>
          </cell>
          <cell r="H151" t="str">
            <v>National Journal</v>
          </cell>
          <cell r="I151" t="str">
            <v>S3</v>
          </cell>
        </row>
        <row r="152">
          <cell r="C152" t="str">
            <v>PENGEMBANGAN MEDIA PEMBELAJARAN MAJALAH FISIKA (E–PHYSICS MAGAZINE) BERBASIS APLIKASI ANDROID</v>
          </cell>
          <cell r="D152" t="str">
            <v>SDM Prasetyaningsekti, H Nuroso, AF Kurniawan</v>
          </cell>
          <cell r="E152" t="str">
            <v>Prosiding Seminar Nasional Lontar Physics Forum, 139-146</v>
          </cell>
          <cell r="F152">
            <v>2022</v>
          </cell>
          <cell r="G152">
            <v>1</v>
          </cell>
          <cell r="H152" t="str">
            <v>National Proceeding</v>
          </cell>
          <cell r="I152" t="str">
            <v>-</v>
          </cell>
        </row>
        <row r="153">
          <cell r="C153" t="str">
            <v>Pembelajaran Digital Blended &amp; Hybrid Learning di Smp N 1 Karangawen, Demak, Jawa Tengah</v>
          </cell>
          <cell r="D153" t="str">
            <v>FXD Purwosetiyono, F Nursyahidah, AF Kurniawan, MR Rubowo</v>
          </cell>
          <cell r="E153" t="str">
            <v>Jurnal Pelatihan Pendidikan</v>
          </cell>
          <cell r="F153">
            <v>2022</v>
          </cell>
          <cell r="G153">
            <v>1</v>
          </cell>
          <cell r="H153" t="str">
            <v>National Journal</v>
          </cell>
          <cell r="I153" t="str">
            <v>-</v>
          </cell>
        </row>
        <row r="154">
          <cell r="C154" t="str">
            <v>Kreativitas Anak Usia Dini dan SD Pasca Pendemi Covid 19 di Lingkungan RW 1 Kedungmundu Semarang</v>
          </cell>
          <cell r="D154" t="str">
            <v>FXD Purwosetiyono, F Nursyahidah, AF Kurniawan, MR Rubowo</v>
          </cell>
          <cell r="E154" t="str">
            <v>Jurnal Pelatihan Pendidikan</v>
          </cell>
          <cell r="F154">
            <v>2022</v>
          </cell>
          <cell r="G154">
            <v>1</v>
          </cell>
          <cell r="H154" t="str">
            <v>National Journal</v>
          </cell>
          <cell r="I154" t="str">
            <v>-</v>
          </cell>
        </row>
        <row r="155">
          <cell r="C155" t="str">
            <v>C75. Premature Coronary Artery Disease in Young Male Patient with Strong Family History</v>
          </cell>
          <cell r="D155" t="str">
            <v>A Kurniawan, MS Rohman</v>
          </cell>
          <cell r="E155" t="str">
            <v>European Heart Journal Supplements 23 (Supplement_F), suab124. 074</v>
          </cell>
          <cell r="F155">
            <v>2021</v>
          </cell>
          <cell r="G155">
            <v>1</v>
          </cell>
          <cell r="H155" t="str">
            <v>International Journal</v>
          </cell>
          <cell r="I155" t="str">
            <v>-</v>
          </cell>
        </row>
        <row r="156">
          <cell r="C156" t="str">
            <v>IbM SANTRI PONDOK PESANTREN KH. MURODI MRANGGEN KABUPATEN DEMAK</v>
          </cell>
          <cell r="D156" t="str">
            <v>MW Widianto, MA Budiman, S Baedowi, IU Albab, AF Kurniawan</v>
          </cell>
          <cell r="E156" t="str">
            <v>SEMINAR NASIONAL HASIL PENGABDIAN 2015</v>
          </cell>
          <cell r="F156">
            <v>2017</v>
          </cell>
          <cell r="G156">
            <v>1</v>
          </cell>
          <cell r="H156" t="str">
            <v>National Proceeding</v>
          </cell>
          <cell r="I156" t="str">
            <v>S3-S5</v>
          </cell>
        </row>
        <row r="157">
          <cell r="C157" t="str">
            <v>Fotokatalis Lapisan Tipis Tio2untuk Penjernihan Jelantah</v>
          </cell>
          <cell r="D157" t="str">
            <v>AF Kurniawan, U Kaltsum, I Nurhasanah, P Priyono, H Sutanto, ...</v>
          </cell>
          <cell r="E157" t="str">
            <v>(JITEK) Jurnal Ilmiah Teknosains 2 (1/Mei)</v>
          </cell>
          <cell r="F157">
            <v>2016</v>
          </cell>
          <cell r="G157">
            <v>1</v>
          </cell>
          <cell r="H157" t="str">
            <v>National Journal</v>
          </cell>
          <cell r="I157" t="str">
            <v>S3</v>
          </cell>
        </row>
        <row r="158">
          <cell r="C158" t="str">
            <v>Pengaruh Posisi Stack Terhadap Frekuensi Resonansi Pada Tabung Resonator Termoakustik</v>
          </cell>
          <cell r="D158" t="str">
            <v>S Ristanto, AF Kurniawan, C Huda</v>
          </cell>
          <cell r="E158" t="str">
            <v>Jurnal Fisika</v>
          </cell>
          <cell r="F158">
            <v>2013</v>
          </cell>
          <cell r="G158">
            <v>1</v>
          </cell>
          <cell r="H158" t="str">
            <v>National Journal</v>
          </cell>
          <cell r="I158" t="str">
            <v>S1</v>
          </cell>
        </row>
        <row r="159">
          <cell r="C159" t="str">
            <v>-PENGUATAN PEMBUATAN MEDIA PEMBELAJARAN INTERAKTIF BERBASIS IT MGMP IPA BLORA</v>
          </cell>
          <cell r="D159" t="str">
            <v>AF Kurniawan, S Ristanto, J Saefan, N Khoiri</v>
          </cell>
          <cell r="E159" t="str">
            <v>Amaliah: Jurnal Pengabdian Kepada Masyarakat</v>
          </cell>
          <cell r="F159">
            <v>2025</v>
          </cell>
          <cell r="G159">
            <v>0</v>
          </cell>
          <cell r="H159" t="str">
            <v>Community Service Journal</v>
          </cell>
          <cell r="I159" t="str">
            <v>S3-S5</v>
          </cell>
        </row>
        <row r="160">
          <cell r="C160" t="str">
            <v>Transformasi Digital Eksperimen Pesawat Atwood melalui Integrasi Sensor dan Otomatisasi Data Berbasis Python</v>
          </cell>
          <cell r="D160" t="str">
            <v>IA Pramesti, N Khoiri, AF Kurniawan</v>
          </cell>
          <cell r="E160" t="str">
            <v>Unnes Physics Education Journal</v>
          </cell>
          <cell r="F160">
            <v>2025</v>
          </cell>
          <cell r="G160">
            <v>0</v>
          </cell>
          <cell r="H160" t="str">
            <v>National Journal</v>
          </cell>
          <cell r="I160" t="str">
            <v>S2</v>
          </cell>
        </row>
        <row r="161">
          <cell r="C161" t="str">
            <v>PKM Strengthening The Compilation Of Scientific WritingsMGMP Physics Boyolali Regency</v>
          </cell>
          <cell r="D161" t="str">
            <v>S Ristanto, N Khoiri, AF Kurniawan, J Saefan</v>
          </cell>
          <cell r="E161" t="str">
            <v>Jurnal Aksi Masyarakat</v>
          </cell>
          <cell r="F161">
            <v>2025</v>
          </cell>
          <cell r="G161">
            <v>0</v>
          </cell>
          <cell r="H161" t="str">
            <v>National Journal</v>
          </cell>
          <cell r="I161" t="str">
            <v>-</v>
          </cell>
        </row>
        <row r="162">
          <cell r="C162" t="str">
            <v>ANALISIS PERAN SISTEM PEMBUMIAN TERHADAP KESELAMATAN DAN KEANDALAN OPERASI PEMBANGKIT LISTRIK TENAGA DIESEL (PLTD)</v>
          </cell>
          <cell r="D162" t="str">
            <v>SB Satrio, AK Rahmawan, AF Kurniawan</v>
          </cell>
          <cell r="E162" t="str">
            <v>Science and Engineering National Seminar (SENS)</v>
          </cell>
          <cell r="F162">
            <v>2025</v>
          </cell>
          <cell r="G162">
            <v>0</v>
          </cell>
          <cell r="H162" t="str">
            <v>National Proceeding</v>
          </cell>
          <cell r="I162" t="str">
            <v>-</v>
          </cell>
        </row>
        <row r="163">
          <cell r="C163" t="str">
            <v>Integrasi Teknologi Sensor dalam Pesawat Atwood untuk Meningkatkan Akurasi dan Efisiensi Pembelajaran Fisika: Systematic Literature Review</v>
          </cell>
          <cell r="D163" t="str">
            <v>IA Pramesti, AF Kurniawan, N Khoiri</v>
          </cell>
          <cell r="E163" t="str">
            <v>Prosiding Seminar Nasional Lontar Physics Forum, 36-38</v>
          </cell>
          <cell r="F163">
            <v>2024</v>
          </cell>
          <cell r="G163">
            <v>0</v>
          </cell>
          <cell r="H163" t="str">
            <v>National Proceeding</v>
          </cell>
          <cell r="I163" t="str">
            <v>-</v>
          </cell>
        </row>
        <row r="164">
          <cell r="C164" t="str">
            <v>Implementation of Video Tracker Application for Measurement of Elastic Pendulum Oscillatory Motion</v>
          </cell>
          <cell r="D164" t="str">
            <v>S Ristanto, HA Prakosa, N Khoiri, AF Kurniawan, J Saefan</v>
          </cell>
          <cell r="E164" t="str">
            <v>JPF (Jurnal Pendidikan Fisika) Universitas Islam Negeri Alauddin Makassar 12 …</v>
          </cell>
          <cell r="F164">
            <v>2024</v>
          </cell>
          <cell r="G164">
            <v>0</v>
          </cell>
          <cell r="H164" t="str">
            <v>National Journal</v>
          </cell>
          <cell r="I164" t="str">
            <v>-</v>
          </cell>
        </row>
        <row r="165">
          <cell r="C165" t="str">
            <v>PENGUATAN KARYA ILMIAH REMAJA (KIR) SISWA MAN 1 KOTA SEMARANG</v>
          </cell>
          <cell r="D165" t="str">
            <v>S Ristanto, N Khoiri, AF Kurniawan, J Saefan</v>
          </cell>
          <cell r="E165" t="str">
            <v>Seminar Nasional Hasil Penelitian dan Pengabdian Kepada Masyarakat</v>
          </cell>
          <cell r="F165">
            <v>2023</v>
          </cell>
          <cell r="G165">
            <v>0</v>
          </cell>
          <cell r="H165" t="str">
            <v>National Proceeding</v>
          </cell>
          <cell r="I165" t="str">
            <v>S3-S5</v>
          </cell>
        </row>
        <row r="166">
          <cell r="C166" t="str">
            <v>Development of educational videos on work and energy topics to support schoology based e-learning</v>
          </cell>
          <cell r="D166" t="str">
            <v>H Nasbey, Raihanati, L Karina, MH Rohman, AF Kurniawan</v>
          </cell>
          <cell r="E166" t="str">
            <v>THE 8TH INTERNATIONAL CONFERENCE ON MATHEMATICS, SCIENCE AND EDUCATION 2021 …</v>
          </cell>
          <cell r="F166">
            <v>2023</v>
          </cell>
          <cell r="G166">
            <v>0</v>
          </cell>
          <cell r="H166" t="str">
            <v>International Proceeding</v>
          </cell>
          <cell r="I166" t="str">
            <v>-</v>
          </cell>
        </row>
        <row r="167">
          <cell r="C167" t="str">
            <v>Analisis Kebutuhan Pengembangan Model Pembelajaran untuk Penguasaan Literasi Sains Siswa SMP Negeri Di Kota Semarang</v>
          </cell>
          <cell r="D167" t="str">
            <v>NE Putri, AF Kurniawan</v>
          </cell>
          <cell r="E167" t="str">
            <v>Prosiding Seminar Nasional Lontar Physics Forum, 153-158</v>
          </cell>
          <cell r="F167">
            <v>2022</v>
          </cell>
          <cell r="G167">
            <v>0</v>
          </cell>
          <cell r="H167" t="str">
            <v>National Proceeding</v>
          </cell>
          <cell r="I167" t="str">
            <v>-</v>
          </cell>
        </row>
        <row r="168">
          <cell r="C168" t="str">
            <v>Profile of Students' Mastery of Physics Concepts in Senior High School/Madrasah Aliyah Semarang City</v>
          </cell>
          <cell r="D168" t="str">
            <v>N Khoiri, S Ristanto, AF Kurniawan</v>
          </cell>
          <cell r="E168" t="str">
            <v>Pendidikan Fisika Universitas Negeri Jakarta</v>
          </cell>
          <cell r="F168">
            <v>2022</v>
          </cell>
          <cell r="G168">
            <v>0</v>
          </cell>
          <cell r="H168" t="str">
            <v>National Journal</v>
          </cell>
          <cell r="I168" t="str">
            <v>-</v>
          </cell>
        </row>
        <row r="169">
          <cell r="C169" t="str">
            <v>Efektivitas Pembelajaran Fisika Berbantu Google Classroom sebagai Learning Management System (LMS) untuk Meningkatkan Keterampilan Berpikir Kritis Siswa Kelas XI SMA Negeri 1 …</v>
          </cell>
          <cell r="D169" t="str">
            <v>L Juniati</v>
          </cell>
          <cell r="E169" t="str">
            <v>Universitas PGRI Semarang</v>
          </cell>
          <cell r="F169">
            <v>2022</v>
          </cell>
          <cell r="G169">
            <v>0</v>
          </cell>
          <cell r="H169" t="str">
            <v>National Journal</v>
          </cell>
          <cell r="I169" t="str">
            <v>-</v>
          </cell>
        </row>
        <row r="170">
          <cell r="C170" t="str">
            <v>Efektivitas Penggunaan Elektroda Tembaga, Seng, Alumunium, dan Kaca Indium Timah Oksida (ITO) Pada Performa Dye Sensitized Solar Cells (DSSC) Pewarna Kulit Buah Naga Merah</v>
          </cell>
          <cell r="D170" t="str">
            <v>U Kaltsum, D Nuraeni, W Kurniawan, J Saefan, E Saptaningrum, ...</v>
          </cell>
          <cell r="E170" t="str">
            <v>Seminar Nasional Hasil Penelitian dan Pengabdian Kepada Masyarakat</v>
          </cell>
          <cell r="F170">
            <v>2021</v>
          </cell>
          <cell r="G170">
            <v>0</v>
          </cell>
          <cell r="H170" t="str">
            <v>National Proceeding</v>
          </cell>
          <cell r="I170" t="str">
            <v>S3-S5</v>
          </cell>
        </row>
        <row r="171">
          <cell r="C171" t="str">
            <v>ANALISA UJI BEDA KADAR GULA DARAH&amp;TEKANAN DARAH SERTA PROFIL PENGOBATANNYA PADA PASIEN KATARAK&amp;NON KATARAK DI RSUD CIAWI TAHUN 2018.</v>
          </cell>
          <cell r="D171" t="str">
            <v>A Kurniawan, R Sumarny, Y Sumiyati, I Fernandez</v>
          </cell>
          <cell r="E171" t="str">
            <v>Journal of Syntax Literate 6</v>
          </cell>
          <cell r="F171">
            <v>2021</v>
          </cell>
          <cell r="G171">
            <v>0</v>
          </cell>
          <cell r="H171" t="str">
            <v>National Journal</v>
          </cell>
          <cell r="I171" t="str">
            <v>-</v>
          </cell>
        </row>
        <row r="172">
          <cell r="C172" t="str">
            <v>Optimasi Ketebalan Lapisan Jamak Bahan Dielektrik Dan Magnetik Sebagai Penyerap Gelombang Mikro Pada Pita X</v>
          </cell>
          <cell r="D172" t="str">
            <v>AF Kurniawan</v>
          </cell>
          <cell r="E172" t="str">
            <v>Institut Teknologi Sepuluh Nopember</v>
          </cell>
          <cell r="F172">
            <v>2021</v>
          </cell>
          <cell r="G172">
            <v>0</v>
          </cell>
          <cell r="H172" t="str">
            <v>National Journal</v>
          </cell>
          <cell r="I172" t="str">
            <v>-</v>
          </cell>
        </row>
        <row r="173">
          <cell r="C173" t="str">
            <v>Proceedings 6th Internattional Conference On Physics Applications (ICOPIA): The Future of Advance Materials, Nanoscience and Nanotechnology</v>
          </cell>
          <cell r="D173" t="str">
            <v>AF Kurniawan, S Ristanto, C Huda</v>
          </cell>
          <cell r="F173">
            <v>2017</v>
          </cell>
          <cell r="G173">
            <v>0</v>
          </cell>
          <cell r="H173" t="str">
            <v>Other</v>
          </cell>
          <cell r="I173" t="str">
            <v>-</v>
          </cell>
        </row>
        <row r="174">
          <cell r="C174" t="str">
            <v>Pengaruh Stack Terhadap Periode Gelombang Tekanan Dalam Tabung Resonator Termoakustik Ramah Lingkungan</v>
          </cell>
          <cell r="D174" t="str">
            <v>AF Kurniawan, S Ristanto, C Huda</v>
          </cell>
          <cell r="E174" t="str">
            <v>Prosiding Pertemuan Ilmiah XXVIII HFI Jateng &amp; DIY, Yogyakarta</v>
          </cell>
          <cell r="F174">
            <v>2014</v>
          </cell>
          <cell r="G174">
            <v>0</v>
          </cell>
          <cell r="H174" t="str">
            <v>National Proceeding</v>
          </cell>
          <cell r="I174" t="str">
            <v>-</v>
          </cell>
        </row>
        <row r="175">
          <cell r="C175" t="str">
            <v>Pengaruh Stack Terhadap Fase Gelombang Tekanan Dalam Tabung Resonator Termoakustik Ramah Lingkungan</v>
          </cell>
          <cell r="D175" t="str">
            <v>C Huda, AF Kurniawan, S Ristanto</v>
          </cell>
          <cell r="E175" t="str">
            <v>lpf2013</v>
          </cell>
          <cell r="F175">
            <v>2013</v>
          </cell>
          <cell r="G175">
            <v>0</v>
          </cell>
          <cell r="H175" t="str">
            <v>National Journal</v>
          </cell>
          <cell r="I175" t="str">
            <v>-</v>
          </cell>
        </row>
        <row r="176">
          <cell r="C176" t="str">
            <v>Implementasi Lesson Study pada Mata Kuliah Fisika Modern pada Program Studi Pendidikan Fisika IKIP PGRI Semarang</v>
          </cell>
          <cell r="D176" t="str">
            <v>AF Kurniawan, P Purwanti</v>
          </cell>
          <cell r="E176" t="str">
            <v>Pengembangan Model Pembelajaran Berbasis Kearifan Lokal Melalui Lesson Study …</v>
          </cell>
          <cell r="F176">
            <v>2013</v>
          </cell>
          <cell r="G176">
            <v>0</v>
          </cell>
          <cell r="H176" t="str">
            <v>National Journal</v>
          </cell>
          <cell r="I176" t="str">
            <v>-</v>
          </cell>
        </row>
        <row r="177">
          <cell r="C177" t="str">
            <v>Influencing Volume Changes and Cross Linking Concentration on Swelling Dynamics of Main Chain Liquid Crystal Elastomer Swollen on 5CB Solvent</v>
          </cell>
          <cell r="D177" t="str">
            <v>A Kusumaatmaja, AF Kurniawan, Y Yusuf</v>
          </cell>
          <cell r="E177" t="str">
            <v>Institut Teknologi Bandung</v>
          </cell>
          <cell r="F177">
            <v>2009</v>
          </cell>
          <cell r="G177">
            <v>0</v>
          </cell>
          <cell r="H177" t="str">
            <v>Book/Thesis/Report</v>
          </cell>
          <cell r="I177" t="str">
            <v>-</v>
          </cell>
        </row>
        <row r="178">
          <cell r="C178" t="str">
            <v>Turnitin: PROJECT-BASED LEARNING VIA TRADITIONAL GAME IN PHYSICS LEARNING ITS IMPACT ON CRITICAL THINKING, CREATIVE THINKING, AND COLLABORATIVE SKILLS</v>
          </cell>
          <cell r="D178" t="str">
            <v>K Nur, R Sigit, AF Kurniawan</v>
          </cell>
          <cell r="E178" t="str">
            <v>Universitas PGRI Semarang, 0</v>
          </cell>
          <cell r="G178">
            <v>0</v>
          </cell>
          <cell r="H178" t="str">
            <v>National Journal</v>
          </cell>
          <cell r="I178" t="str">
            <v>-</v>
          </cell>
        </row>
        <row r="179">
          <cell r="C179" t="str">
            <v>BUKTI KORESPONDENSI: Project-Based Learning Via Traditional Game in Physics Learning: Its Impact on Critical Thinking, Creative Thinking, and Collaborative Skills</v>
          </cell>
          <cell r="D179" t="str">
            <v>K Nur, R Sigit, AF Kurniawan</v>
          </cell>
          <cell r="E179" t="str">
            <v>Jurnal Pendidikan IPA Indonesia Vol. 12 No. 2, pp 286-292, 0</v>
          </cell>
          <cell r="G179">
            <v>0</v>
          </cell>
          <cell r="H179" t="str">
            <v>National Journal</v>
          </cell>
          <cell r="I179" t="str">
            <v>S1</v>
          </cell>
        </row>
        <row r="180">
          <cell r="C180" t="str">
            <v>The Influence of a Stack Against The Distribution Of Pressure On The Eco-Friendly Thermoaccoustic Resonator Tube</v>
          </cell>
          <cell r="D180" t="str">
            <v>AFK Affandi Faisal Kurniawan, SR Sigit Ristanto, CH Choirul Huda</v>
          </cell>
          <cell r="E180" t="str">
            <v>The Influence of a Stack Against The Distribution Of Pressure On The Eco …, 0</v>
          </cell>
          <cell r="G180">
            <v>0</v>
          </cell>
          <cell r="H180" t="str">
            <v>National Journal</v>
          </cell>
          <cell r="I180" t="str">
            <v>-</v>
          </cell>
        </row>
        <row r="181">
          <cell r="C181" t="str">
            <v>Pendampingan Pembenahan Instalasi Sistem CCTV untuk Masjid Baitul Rohmah Pudak Payung Semarang</v>
          </cell>
          <cell r="D181" t="str">
            <v>M Amiruddin, I Harjanto, BH Kunaryo, M Margono</v>
          </cell>
          <cell r="E181" t="str">
            <v>PaKMas: Jurnal Pengabdian Kepada Masyarakat</v>
          </cell>
          <cell r="F181">
            <v>2023</v>
          </cell>
          <cell r="G181">
            <v>4</v>
          </cell>
          <cell r="H181" t="str">
            <v>Community Service Journal</v>
          </cell>
          <cell r="I181" t="str">
            <v>S3-S5</v>
          </cell>
        </row>
        <row r="182">
          <cell r="C182" t="str">
            <v>Feasibility Study of solar power generation system for public street lighting</v>
          </cell>
          <cell r="D182" t="str">
            <v>MF Ibrahim, I Harjanto, B Kunaryo</v>
          </cell>
          <cell r="E182" t="str">
            <v>Advance Sustainable Science, Engineering and Technology (ASSET) Journal</v>
          </cell>
          <cell r="F182">
            <v>2022</v>
          </cell>
          <cell r="G182">
            <v>4</v>
          </cell>
          <cell r="H182" t="str">
            <v>National Journal</v>
          </cell>
          <cell r="I182" t="str">
            <v>S2</v>
          </cell>
        </row>
        <row r="183">
          <cell r="C183" t="str">
            <v>Pendampingan Digitalisasi Pemasaran Produk UMKM di Desa Banjarejo Kecamatan Boja Kabupaten Kendal</v>
          </cell>
          <cell r="D183" t="str">
            <v>W Wijayanto, N Cholifah, AR Rozzaqi, BH Kunaryo, S Sudargo</v>
          </cell>
          <cell r="E183" t="str">
            <v>Journal of Digital Community Services</v>
          </cell>
          <cell r="F183">
            <v>2024</v>
          </cell>
          <cell r="G183">
            <v>3</v>
          </cell>
          <cell r="H183" t="str">
            <v>National Journal</v>
          </cell>
          <cell r="I183" t="str">
            <v>-</v>
          </cell>
        </row>
        <row r="184">
          <cell r="C184" t="str">
            <v>Sosialisasi dan Pendampingan Pembenahan Instalasi Kelistrikan Panti Asuhan Sultan Fatah Ngaliyan Semarang</v>
          </cell>
          <cell r="D184" t="str">
            <v>M Amiruddin, I Harjanto, BH Kunaryo, M Margono, N Aksin</v>
          </cell>
          <cell r="E184" t="str">
            <v>PaKMas: Jurnal Pengabdian Kepada Masyarakat</v>
          </cell>
          <cell r="F184">
            <v>2024</v>
          </cell>
          <cell r="G184">
            <v>2</v>
          </cell>
          <cell r="H184" t="str">
            <v>Community Service Journal</v>
          </cell>
          <cell r="I184" t="str">
            <v>S3-S5</v>
          </cell>
        </row>
        <row r="185">
          <cell r="C185" t="str">
            <v>Implementation internet of things-based catfish aquaculture to measure water quality and minimize pond waste</v>
          </cell>
          <cell r="D185" t="str">
            <v>RMD Ujianti, S Wibowo, BH Kunaryo</v>
          </cell>
          <cell r="E185" t="str">
            <v>Community Empowerment</v>
          </cell>
          <cell r="F185">
            <v>2023</v>
          </cell>
          <cell r="G185">
            <v>2</v>
          </cell>
          <cell r="H185" t="str">
            <v>Community Service Journal</v>
          </cell>
          <cell r="I185" t="str">
            <v>S3-S5</v>
          </cell>
        </row>
        <row r="186">
          <cell r="C186" t="str">
            <v>Analisa Kerusakan Dan Perbaikan Ac Split Duct York Model Mac 150T35 Di Pt. Morindo Masindo</v>
          </cell>
          <cell r="D186" t="str">
            <v>P Suryono, BH Kunaryo</v>
          </cell>
          <cell r="E186" t="str">
            <v>Proceeding Science and Engineering National Seminar</v>
          </cell>
          <cell r="F186">
            <v>2022</v>
          </cell>
          <cell r="G186">
            <v>2</v>
          </cell>
          <cell r="H186" t="str">
            <v>National Proceeding</v>
          </cell>
          <cell r="I186" t="str">
            <v>-</v>
          </cell>
        </row>
        <row r="187">
          <cell r="C187" t="str">
            <v>Applicant Mapping of Predicting Seriousness in Choosing Private University using Self Organizing Map (SOM) Algorithm</v>
          </cell>
          <cell r="D187" t="str">
            <v>BH Kunaryo, M Somantri, A Sofwan</v>
          </cell>
          <cell r="E187" t="str">
            <v>2020 7th International Conference on Information Technology, Computer, and …</v>
          </cell>
          <cell r="F187">
            <v>2020</v>
          </cell>
          <cell r="G187">
            <v>2</v>
          </cell>
          <cell r="H187" t="str">
            <v>International Proceeding</v>
          </cell>
          <cell r="I187" t="str">
            <v>-</v>
          </cell>
        </row>
        <row r="188">
          <cell r="C188" t="str">
            <v>OPTIMASI MODEL DEEP LEARNING UNTUK RASPBERRY MENGGUNAKAN PRUNING DAN KUANTISASI</v>
          </cell>
          <cell r="D188" t="str">
            <v>I Harjanto, M Amiruddin, BH Kunaryo</v>
          </cell>
          <cell r="E188" t="str">
            <v>JURNAL TEKNOLOGI INFORMASI DAN KOMUNIKASI</v>
          </cell>
          <cell r="F188">
            <v>2024</v>
          </cell>
          <cell r="G188">
            <v>1</v>
          </cell>
          <cell r="H188" t="str">
            <v>National Journal</v>
          </cell>
          <cell r="I188" t="str">
            <v>-</v>
          </cell>
        </row>
        <row r="189">
          <cell r="C189" t="str">
            <v>Sistem Eksitasi Pada Generator Di PT PJB UBJ O&amp;M PLTU REMBANG</v>
          </cell>
          <cell r="D189" t="str">
            <v>A Safrudin, BH Kunaryo</v>
          </cell>
          <cell r="E189" t="str">
            <v>Proceeding Science and Engineering National Seminar</v>
          </cell>
          <cell r="F189">
            <v>2023</v>
          </cell>
          <cell r="G189">
            <v>1</v>
          </cell>
          <cell r="H189" t="str">
            <v>National Proceeding</v>
          </cell>
          <cell r="I189" t="str">
            <v>-</v>
          </cell>
        </row>
        <row r="190">
          <cell r="C190" t="str">
            <v>APLIKASI TAPIS ADAPTIF FIR UNTUK MENGHILANGKAN ARTEFAK PADA SINYAL ELEKTROKARDIOGRAFI</v>
          </cell>
          <cell r="D190" t="str">
            <v>BH Kunaryo, W Wahyudi, I Santoso</v>
          </cell>
          <cell r="E190" t="str">
            <v>Jurusan Teknik Elektro Fakultas Teknik Undip</v>
          </cell>
          <cell r="F190">
            <v>2011</v>
          </cell>
          <cell r="G190">
            <v>1</v>
          </cell>
          <cell r="H190" t="str">
            <v>National Journal</v>
          </cell>
          <cell r="I190" t="str">
            <v>-</v>
          </cell>
        </row>
        <row r="191">
          <cell r="C191" t="str">
            <v>Teknik Telekomunikasi: Dari Sinyal hingga Jaringan Modern</v>
          </cell>
          <cell r="D191" t="str">
            <v>LM Silalahi, Z Bonok, P Harahap, Y Yuniati, BH Kunaryo, N Pratiwi, ...</v>
          </cell>
          <cell r="E191" t="str">
            <v>PT Cipta Digital Edukasi</v>
          </cell>
          <cell r="F191">
            <v>2026</v>
          </cell>
          <cell r="G191">
            <v>0</v>
          </cell>
          <cell r="H191" t="str">
            <v>Book/Thesis/Report</v>
          </cell>
          <cell r="I191" t="str">
            <v>-</v>
          </cell>
        </row>
        <row r="192">
          <cell r="C192" t="str">
            <v>Rancang Bangun Sistem Keanggotaan Berbasis ESP32 dan RFID Terintegrasi Firebase pada Kedai Unalome Coffee</v>
          </cell>
          <cell r="D192" t="str">
            <v>MI Jahri, BH Kunaryo, G Winasis</v>
          </cell>
          <cell r="E192" t="str">
            <v>JETI (Jurnal Elektro dan Teknologi Informasi)</v>
          </cell>
          <cell r="F192">
            <v>2025</v>
          </cell>
          <cell r="G192">
            <v>0</v>
          </cell>
          <cell r="H192" t="str">
            <v>National Journal</v>
          </cell>
          <cell r="I192" t="str">
            <v>S4</v>
          </cell>
        </row>
        <row r="193">
          <cell r="C193" t="str">
            <v>KOMPARASI NILAI IMPEDANSI TERHADAP PENGARUH FUNGSI PADA PRODUK ANTENNA KEYLESS 4L45W</v>
          </cell>
          <cell r="D193" t="str">
            <v>M Ghifari, A Kusmantoro, BH Kunaryo</v>
          </cell>
          <cell r="E193" t="str">
            <v>JETI (Jurnal Elektro dan Teknologi Informasi)</v>
          </cell>
          <cell r="F193">
            <v>2025</v>
          </cell>
          <cell r="G193">
            <v>0</v>
          </cell>
          <cell r="H193" t="str">
            <v>National Journal</v>
          </cell>
          <cell r="I193" t="str">
            <v>S4</v>
          </cell>
        </row>
        <row r="194">
          <cell r="C194" t="str">
            <v>Pengabdian PKM Program Perbaikan dan Edukasi Penggunaan Peralatan Audio Bagi Panti Asuhan Fachrudin Semarang</v>
          </cell>
          <cell r="D194" t="str">
            <v>BH Kunaryo, AK Rahmawan, G Winasis, R Hermana</v>
          </cell>
          <cell r="E194" t="str">
            <v>IRA Jurnal Pengabdian Kepada Masyarakat (IRAJPKM)</v>
          </cell>
          <cell r="F194">
            <v>2025</v>
          </cell>
          <cell r="G194">
            <v>0</v>
          </cell>
          <cell r="H194" t="str">
            <v>Community Service Journal</v>
          </cell>
          <cell r="I194" t="str">
            <v>S3-S5</v>
          </cell>
        </row>
        <row r="195">
          <cell r="C195" t="str">
            <v>RANCANG BANGUN PANEL SUB DISTRIBUTION PANEL (SDP) TIPE FREESTANDING DENGAN SISTEM BUSBAR TERINTEGRASI PADA PROYEK RS SANTA MARIA PEMALANG</v>
          </cell>
          <cell r="D195" t="str">
            <v>HP Putra, BH Kunaryo</v>
          </cell>
          <cell r="E195" t="str">
            <v>Science and Engineering National Seminar (SENS)</v>
          </cell>
          <cell r="F195">
            <v>2025</v>
          </cell>
          <cell r="G195">
            <v>0</v>
          </cell>
          <cell r="H195" t="str">
            <v>National Proceeding</v>
          </cell>
          <cell r="I195" t="str">
            <v>-</v>
          </cell>
        </row>
        <row r="196">
          <cell r="C196" t="str">
            <v>ANALISIS ENERGI LISTRIK GEDUNG BOTTOM 1 PT. PARKLAND WORLD INDONESIA JEPARA</v>
          </cell>
          <cell r="D196" t="str">
            <v>AK Zulyani, BH Kunaryo</v>
          </cell>
          <cell r="E196" t="str">
            <v>Science and Engineering National Seminar (SENS)</v>
          </cell>
          <cell r="F196">
            <v>2025</v>
          </cell>
          <cell r="G196">
            <v>0</v>
          </cell>
          <cell r="H196" t="str">
            <v>National Proceeding</v>
          </cell>
          <cell r="I196" t="str">
            <v>-</v>
          </cell>
        </row>
        <row r="197">
          <cell r="C197" t="str">
            <v>STUDI IMPLEMENTASI STANDAR KESELAMATAN DAN KUALITAS VISUAL PADA PERAKITAN PANEL LISTRIK INDUSTRI TIPE WALL MOUNTING</v>
          </cell>
          <cell r="D197" t="str">
            <v>GAAR Putra, BH Kunaryo, AK Rahmawan</v>
          </cell>
          <cell r="E197" t="str">
            <v>Science and Engineering National Seminar (SENS)</v>
          </cell>
          <cell r="F197">
            <v>2025</v>
          </cell>
          <cell r="G197">
            <v>0</v>
          </cell>
          <cell r="H197" t="str">
            <v>National Proceeding</v>
          </cell>
          <cell r="I197" t="str">
            <v>-</v>
          </cell>
        </row>
        <row r="198">
          <cell r="C198" t="str">
            <v>RANCANG BANGUN MESIN PEMBUAT MINUMAN PROBIOTIK DARI LIMBAH SUSU</v>
          </cell>
          <cell r="D198" t="str">
            <v>WT Laksono, BH Kunaryo</v>
          </cell>
          <cell r="E198" t="str">
            <v>Science and Engineering National Seminar (SENS)</v>
          </cell>
          <cell r="F198">
            <v>2025</v>
          </cell>
          <cell r="G198">
            <v>0</v>
          </cell>
          <cell r="H198" t="str">
            <v>National Proceeding</v>
          </cell>
          <cell r="I198" t="str">
            <v>-</v>
          </cell>
        </row>
        <row r="199">
          <cell r="C199" t="str">
            <v>DESAIN SISTEM KENDALI SUHU RUANG PEMANAS DENGAN METODE ULTIMATE CYCLE</v>
          </cell>
          <cell r="D199" t="str">
            <v>M Amiruddin, I Harjanto, BH Kunaryo</v>
          </cell>
          <cell r="E199" t="str">
            <v>JURNAL TEKNOLOGI INFORMASI DAN KOMUNIKASI</v>
          </cell>
          <cell r="F199">
            <v>2024</v>
          </cell>
          <cell r="G199">
            <v>0</v>
          </cell>
          <cell r="H199" t="str">
            <v>National Journal</v>
          </cell>
          <cell r="I199" t="str">
            <v>-</v>
          </cell>
        </row>
        <row r="200">
          <cell r="C200" t="str">
            <v>Analisa Perbandingan Performansi Kecepatan Downlink Dan Uplink Pada Jaringan 4g Lte Antara Provider Jaringan Indosat Dan Smartfren Di Kawasan Tlogosari Semarang</v>
          </cell>
          <cell r="D200" t="str">
            <v>A Kusmantoro, BH Kunaryo</v>
          </cell>
          <cell r="E200" t="str">
            <v>JETI (Jurnal Elektro dan Teknologi Informasi)</v>
          </cell>
          <cell r="F200">
            <v>2024</v>
          </cell>
          <cell r="G200">
            <v>0</v>
          </cell>
          <cell r="H200" t="str">
            <v>National Journal</v>
          </cell>
          <cell r="I200" t="str">
            <v>S4</v>
          </cell>
        </row>
        <row r="201">
          <cell r="C201" t="str">
            <v>SERTIFIKAT LAIK OPERASI PEMBANGKIT LISTRIK TENAGA DIESEL</v>
          </cell>
          <cell r="D201" t="str">
            <v>AN Romadhoni, BH Kunaryo, AK Rahmawan</v>
          </cell>
          <cell r="E201" t="str">
            <v>Proceeding Science and Engineering National Seminar</v>
          </cell>
          <cell r="F201">
            <v>2024</v>
          </cell>
          <cell r="G201">
            <v>0</v>
          </cell>
          <cell r="H201" t="str">
            <v>National Proceeding</v>
          </cell>
          <cell r="I201" t="str">
            <v>-</v>
          </cell>
        </row>
        <row r="202">
          <cell r="C202" t="str">
            <v>Turnitin RANCANGAN BANGUN KEBUTUHAN ACESSPOINT DI GEDUNG UTAMA UNIVERSITAS PGRI SEMARANG</v>
          </cell>
          <cell r="D202" t="str">
            <v>B Hadi Kunaryo</v>
          </cell>
          <cell r="F202">
            <v>2023</v>
          </cell>
          <cell r="G202">
            <v>0</v>
          </cell>
          <cell r="H202" t="str">
            <v>Other</v>
          </cell>
          <cell r="I202" t="str">
            <v>-</v>
          </cell>
        </row>
        <row r="203">
          <cell r="C203" t="str">
            <v>Korenpondensi Jurnal RANCANGAN BANGUN KEBUTUHAN ACESSPOINT DI GEDUNG UTAMA UNIVERSITAS PGRI SEMARANG</v>
          </cell>
          <cell r="D203" t="str">
            <v>B Hadi Kunaryo</v>
          </cell>
          <cell r="E203" t="str">
            <v>JURNAL ILMIAH TEKNOLOGI INFORMASI DAN KOMUNIKASI (JTIK)</v>
          </cell>
          <cell r="F203">
            <v>2023</v>
          </cell>
          <cell r="G203">
            <v>0</v>
          </cell>
          <cell r="H203" t="str">
            <v>National Journal</v>
          </cell>
          <cell r="I203" t="str">
            <v>-</v>
          </cell>
        </row>
        <row r="204">
          <cell r="C204" t="str">
            <v>RANCANGAN BANGUN KEBUTUHAN ACESSPOINT DI GEDUNG UTAMA UNIVERSITAS PGRI SEMARANG</v>
          </cell>
          <cell r="D204" t="str">
            <v>B Hadi Kunaryo, I Harjanto, M Amiruddin</v>
          </cell>
          <cell r="E204" t="str">
            <v>RANCANGAN BANGUN KEBUTUHAN ACESSPOINT DI GEDUNG UTAMA UNIVERSITAS PGRI …</v>
          </cell>
          <cell r="F204">
            <v>2023</v>
          </cell>
          <cell r="G204">
            <v>0</v>
          </cell>
          <cell r="H204" t="str">
            <v>National Journal</v>
          </cell>
          <cell r="I204" t="str">
            <v>-</v>
          </cell>
        </row>
        <row r="205">
          <cell r="C205" t="str">
            <v>SK_Presensi_Nilai Teknologi-Informasi-1A dan B Gasal 2023-2024</v>
          </cell>
          <cell r="D205" t="str">
            <v>B Hadi Kunaryo</v>
          </cell>
          <cell r="E205" t="str">
            <v>SK_Presensi_Nilai Teknologi-Informasi-1A dan B</v>
          </cell>
          <cell r="F205">
            <v>2023</v>
          </cell>
          <cell r="G205">
            <v>0</v>
          </cell>
          <cell r="H205" t="str">
            <v>National Journal</v>
          </cell>
          <cell r="I205" t="str">
            <v>-</v>
          </cell>
        </row>
        <row r="206">
          <cell r="C206" t="str">
            <v>Sistem Pemeliharaan Pendingin Pada Generator di PT. PJB UbJ O&amp;M PLTU Rembang</v>
          </cell>
          <cell r="D206" t="str">
            <v>NO Ardiansyah, M Amiruddin, BH Kunaryo</v>
          </cell>
          <cell r="E206" t="str">
            <v>Science and Engineering National Seminar (SENS)</v>
          </cell>
          <cell r="F206">
            <v>2023</v>
          </cell>
          <cell r="G206">
            <v>0</v>
          </cell>
          <cell r="H206" t="str">
            <v>National Proceeding</v>
          </cell>
          <cell r="I206" t="str">
            <v>-</v>
          </cell>
        </row>
        <row r="207">
          <cell r="C207" t="str">
            <v>IMPLEMENTASI PENGENDALIAN SUHU PADA SISTEM PASTEURISASI SUSU DENGAN METODE PID BERBASIS TEMPERATURE CONTROLLER</v>
          </cell>
          <cell r="D207" t="str">
            <v>A Kusmantoro, BH Kunaryo</v>
          </cell>
          <cell r="E207" t="str">
            <v>JETI (Jurnal Elektro dan Teknologi Informasi)</v>
          </cell>
          <cell r="F207">
            <v>2022</v>
          </cell>
          <cell r="G207">
            <v>0</v>
          </cell>
          <cell r="H207" t="str">
            <v>National Journal</v>
          </cell>
          <cell r="I207" t="str">
            <v>S4</v>
          </cell>
        </row>
        <row r="208">
          <cell r="C208" t="str">
            <v>RANCANG BUCK BOOST CONVERTER UNTUK MENGATUR ENERGI PADA BATERAI</v>
          </cell>
          <cell r="D208" t="str">
            <v>A Kusmantoro, BH Kunaryo</v>
          </cell>
          <cell r="E208" t="str">
            <v>JETI (Jurnal Elektro dan Teknologi Informasi)</v>
          </cell>
          <cell r="F208">
            <v>2022</v>
          </cell>
          <cell r="G208">
            <v>0</v>
          </cell>
          <cell r="H208" t="str">
            <v>National Journal</v>
          </cell>
          <cell r="I208" t="str">
            <v>S4</v>
          </cell>
        </row>
        <row r="209">
          <cell r="C209" t="str">
            <v>Proses Pemasangan Jaringan Wireless Local Area Network</v>
          </cell>
          <cell r="D209" t="str">
            <v>AH Maulana, BH Kunaryo</v>
          </cell>
          <cell r="E209" t="str">
            <v>Science and Engineering National Seminar (SENS)</v>
          </cell>
          <cell r="F209">
            <v>2022</v>
          </cell>
          <cell r="G209">
            <v>0</v>
          </cell>
          <cell r="H209" t="str">
            <v>National Proceeding</v>
          </cell>
          <cell r="I209" t="str">
            <v>-</v>
          </cell>
        </row>
        <row r="210">
          <cell r="C210" t="str">
            <v>IoT Gateway Menggunakan Protokol MQTT pada Perangkat Kendali Berbasis Modbus-RTU</v>
          </cell>
          <cell r="D210" t="str">
            <v>I Harjanto</v>
          </cell>
          <cell r="E210" t="str">
            <v>(JITEK) Jurnal Ilmiah Teknosains</v>
          </cell>
          <cell r="F210">
            <v>2020</v>
          </cell>
          <cell r="G210">
            <v>14</v>
          </cell>
          <cell r="H210" t="str">
            <v>National Journal</v>
          </cell>
          <cell r="I210" t="str">
            <v>S3</v>
          </cell>
        </row>
        <row r="211">
          <cell r="C211" t="str">
            <v>A comprehensive analysis of mask detection using convolutional neural networks (CNN) and single shot multibox detector (SSD) approach</v>
          </cell>
          <cell r="D211" t="str">
            <v>BK Mukti, M Novita, M Amirudin, SK Singh, I Harjanto, P Bhardwaj, ...</v>
          </cell>
          <cell r="E211" t="str">
            <v>2023 International Conference on Sustainable Emerging Innovations in …</v>
          </cell>
          <cell r="F211">
            <v>2023</v>
          </cell>
          <cell r="G211">
            <v>4</v>
          </cell>
          <cell r="H211" t="str">
            <v>International Proceeding</v>
          </cell>
          <cell r="I211" t="str">
            <v>-</v>
          </cell>
        </row>
        <row r="212">
          <cell r="C212" t="str">
            <v>Pendampingan Pembenahan Instalasi Sistem CCTV untuk Masjid Baitul Rohmah Pudak Payung Semarang</v>
          </cell>
          <cell r="D212" t="str">
            <v>M Amiruddin, I Harjanto, BH Kunaryo, M Margono</v>
          </cell>
          <cell r="E212" t="str">
            <v>PaKMas: Jurnal Pengabdian Kepada Masyarakat</v>
          </cell>
          <cell r="F212">
            <v>2023</v>
          </cell>
          <cell r="G212">
            <v>4</v>
          </cell>
          <cell r="H212" t="str">
            <v>Community Service Journal</v>
          </cell>
          <cell r="I212" t="str">
            <v>S3-S5</v>
          </cell>
        </row>
        <row r="213">
          <cell r="C213" t="str">
            <v>Feasibility Study of solar power generation system for public street lighting</v>
          </cell>
          <cell r="D213" t="str">
            <v>MF Ibrahim, I Harjanto, B Kunaryo</v>
          </cell>
          <cell r="E213" t="str">
            <v>Advance Sustainable Science, Engineering and Technology (ASSET) Journal</v>
          </cell>
          <cell r="F213">
            <v>2022</v>
          </cell>
          <cell r="G213">
            <v>4</v>
          </cell>
          <cell r="H213" t="str">
            <v>National Journal</v>
          </cell>
          <cell r="I213" t="str">
            <v>S2</v>
          </cell>
        </row>
        <row r="214">
          <cell r="C214" t="str">
            <v>Analisis Kinerja Sensor Ultrasonik HC-SR04 dengan Akurasi Tinggi dan Error Rendah</v>
          </cell>
          <cell r="D214" t="str">
            <v>AR Adha, MA Musthofa, G Putra, I Harjanto</v>
          </cell>
          <cell r="E214" t="str">
            <v>Science and Engineering National Seminar (SENS)</v>
          </cell>
          <cell r="F214">
            <v>2024</v>
          </cell>
          <cell r="G214">
            <v>3</v>
          </cell>
          <cell r="H214" t="str">
            <v>National Proceeding</v>
          </cell>
          <cell r="I214" t="str">
            <v>-</v>
          </cell>
        </row>
        <row r="215">
          <cell r="C215" t="str">
            <v>Sosialisasi dan Pendampingan Pembenahan Instalasi Kelistrikan Panti Asuhan Sultan Fatah Ngaliyan Semarang</v>
          </cell>
          <cell r="D215" t="str">
            <v>M Amiruddin, I Harjanto, BH Kunaryo, M Margono, N Aksin</v>
          </cell>
          <cell r="E215" t="str">
            <v>PaKMas: Jurnal Pengabdian Kepada Masyarakat</v>
          </cell>
          <cell r="F215">
            <v>2024</v>
          </cell>
          <cell r="G215">
            <v>2</v>
          </cell>
          <cell r="H215" t="str">
            <v>Community Service Journal</v>
          </cell>
          <cell r="I215" t="str">
            <v>S3-S5</v>
          </cell>
        </row>
        <row r="216">
          <cell r="C216" t="str">
            <v>Review paper on bluetooth based home automation using android phone</v>
          </cell>
          <cell r="D216" t="str">
            <v>P Bhardwaj, M Roy, S Srivastava, SK Singh, V Gupta, M Novita, ...</v>
          </cell>
          <cell r="E216" t="str">
            <v>2023 International Conference on Sustainable Emerging Innovations in …</v>
          </cell>
          <cell r="F216">
            <v>2023</v>
          </cell>
          <cell r="G216">
            <v>2</v>
          </cell>
          <cell r="H216" t="str">
            <v>International Proceeding</v>
          </cell>
          <cell r="I216" t="str">
            <v>-</v>
          </cell>
        </row>
        <row r="217">
          <cell r="C217" t="str">
            <v>Perancangan Sistem Pengaman Ruangan Laboratorium Elektro Upgris Berbasis Rfid Dan Google Sheet</v>
          </cell>
          <cell r="D217" t="str">
            <v>EP Aji, M Amiruddin, I Harjanto</v>
          </cell>
          <cell r="E217" t="str">
            <v>Science and Engineering National Seminar (SENS)</v>
          </cell>
          <cell r="F217">
            <v>2021</v>
          </cell>
          <cell r="G217">
            <v>2</v>
          </cell>
          <cell r="H217" t="str">
            <v>National Proceeding</v>
          </cell>
          <cell r="I217" t="str">
            <v>-</v>
          </cell>
        </row>
        <row r="218">
          <cell r="C218" t="str">
            <v>Prediksi beban listrik jangka panjang di wilayah jawa tengah menggunakan algoritma jaringan syaraf tiruan backpropagation</v>
          </cell>
          <cell r="D218" t="str">
            <v>N Fadlilah, I Harjanto, M Novita</v>
          </cell>
          <cell r="E218" t="str">
            <v>Proceeding Science and Engineering National Seminar</v>
          </cell>
          <cell r="F218">
            <v>2021</v>
          </cell>
          <cell r="G218">
            <v>2</v>
          </cell>
          <cell r="H218" t="str">
            <v>National Proceeding</v>
          </cell>
          <cell r="I218" t="str">
            <v>-</v>
          </cell>
        </row>
        <row r="219">
          <cell r="C219" t="str">
            <v>The Potential of Mechanic Vibration for Generating Electric Energy</v>
          </cell>
          <cell r="D219" t="str">
            <v>MAD Hakim, M Amiruddin, K Hasto, IH Margono, I Carsoni, ...</v>
          </cell>
          <cell r="E219" t="str">
            <v>Advance Sustainable Science, Engineering and Technology (ASSET)</v>
          </cell>
          <cell r="F219">
            <v>2020</v>
          </cell>
          <cell r="G219">
            <v>2</v>
          </cell>
          <cell r="H219" t="str">
            <v>National Journal</v>
          </cell>
          <cell r="I219" t="str">
            <v>S2</v>
          </cell>
        </row>
        <row r="220">
          <cell r="C220" t="str">
            <v>TOPOLOGI JARINGAN DAN REMOTE ACCESS VPN UNTUK PEMANTAUAN KERJA MOTOR POMPA</v>
          </cell>
          <cell r="D220" t="str">
            <v>D Susanto, M Amiruddin, I Harjanto</v>
          </cell>
          <cell r="E220" t="str">
            <v>Science and Engineering National Seminar (SENS)</v>
          </cell>
          <cell r="F220">
            <v>2020</v>
          </cell>
          <cell r="G220">
            <v>2</v>
          </cell>
          <cell r="H220" t="str">
            <v>National Proceeding</v>
          </cell>
          <cell r="I220" t="str">
            <v>-</v>
          </cell>
        </row>
        <row r="221">
          <cell r="C221" t="str">
            <v>Perancangan Dan Manufaktur Printer 3 Dimensi Tipe Fused Deposition Modeling (FDM)</v>
          </cell>
          <cell r="D221" t="str">
            <v>Y Setyoadi, C Carsoni, M Amiruddin, I Harjanto</v>
          </cell>
          <cell r="E221" t="str">
            <v>SEMINAR HASIL-HASIL PENELITIAN 2015</v>
          </cell>
          <cell r="F221">
            <v>2016</v>
          </cell>
          <cell r="G221">
            <v>2</v>
          </cell>
          <cell r="H221" t="str">
            <v>National Proceeding</v>
          </cell>
          <cell r="I221" t="str">
            <v>-</v>
          </cell>
        </row>
        <row r="222">
          <cell r="C222" t="str">
            <v>OPTIMASI MODEL DEEP LEARNING UNTUK RASPBERRY MENGGUNAKAN PRUNING DAN KUANTISASI</v>
          </cell>
          <cell r="D222" t="str">
            <v>I Harjanto, M Amiruddin, BH Kunaryo</v>
          </cell>
          <cell r="E222" t="str">
            <v>JURNAL TEKNOLOGI INFORMASI DAN KOMUNIKASI</v>
          </cell>
          <cell r="F222">
            <v>2024</v>
          </cell>
          <cell r="G222">
            <v>1</v>
          </cell>
          <cell r="H222" t="str">
            <v>National Journal</v>
          </cell>
          <cell r="I222" t="str">
            <v>-</v>
          </cell>
        </row>
        <row r="223">
          <cell r="C223" t="str">
            <v>Design of Water Pump Station Control in Polder System using IoT and Hybrid Fuzzy Neural Network</v>
          </cell>
          <cell r="D223" t="str">
            <v>Ikhwanudin, I Harjanto, F Yudaningrum</v>
          </cell>
          <cell r="E223" t="str">
            <v>IOP Conference Series: Earth and Environmental Science</v>
          </cell>
          <cell r="F223">
            <v>2024</v>
          </cell>
          <cell r="G223">
            <v>1</v>
          </cell>
          <cell r="H223" t="str">
            <v>International Proceeding</v>
          </cell>
          <cell r="I223" t="str">
            <v>-</v>
          </cell>
        </row>
        <row r="224">
          <cell r="C224" t="str">
            <v>PEMANFAATAN TERMOKOPEL UNTUK SISTEM PEMANTAUAN SISTEM MOTOR POMPA</v>
          </cell>
          <cell r="D224" t="str">
            <v>A Khasan, M Amiruddin, I Harjanto</v>
          </cell>
          <cell r="E224" t="str">
            <v>Proceeding Science and Engineering National Seminar</v>
          </cell>
          <cell r="F224">
            <v>2020</v>
          </cell>
          <cell r="G224">
            <v>1</v>
          </cell>
          <cell r="H224" t="str">
            <v>National Proceeding</v>
          </cell>
          <cell r="I224" t="str">
            <v>-</v>
          </cell>
        </row>
        <row r="225">
          <cell r="C225" t="str">
            <v>Pendampingan Pemeriksaan dan Pembenahan Sistem Penerangan Ruangan Kelas di Lingkungan LPQ An-Nur Tanggul Mas Barat Semarang</v>
          </cell>
          <cell r="D225" t="str">
            <v>KS Widi, M Amiruddin, N Aksin, M Margono, S Supriyadi</v>
          </cell>
          <cell r="E225" t="str">
            <v>Jurnal Pengabdian kepada Masyarakat Nusantara</v>
          </cell>
          <cell r="F225">
            <v>2026</v>
          </cell>
          <cell r="G225">
            <v>0</v>
          </cell>
          <cell r="H225" t="str">
            <v>Community Service Journal</v>
          </cell>
          <cell r="I225" t="str">
            <v>S3-S5</v>
          </cell>
        </row>
        <row r="226">
          <cell r="C226" t="str">
            <v>Flood Mitigation in East Coast Semarang City: Hydrological and Hydraulic Analysis for Polder System Optimization</v>
          </cell>
          <cell r="D226" t="str">
            <v>I Harjanto, RC Afifah, F Yudaningrum</v>
          </cell>
          <cell r="E226" t="str">
            <v>Advance Sustainable Science Engineering and Technology</v>
          </cell>
          <cell r="F226">
            <v>2026</v>
          </cell>
          <cell r="G226">
            <v>0</v>
          </cell>
          <cell r="H226" t="str">
            <v>National Journal</v>
          </cell>
          <cell r="I226" t="str">
            <v>S2</v>
          </cell>
        </row>
        <row r="227">
          <cell r="C227" t="str">
            <v>Prosiding seminar praktik keinsinyuran V: inovasi teknologi insinyur Indonesia untuk rekayasa berkelanjutan</v>
          </cell>
          <cell r="D227" t="str">
            <v>D Triatmojo, A Joewono, TA Prakoso, RTS Putra, H Bhakti, R Sitepu, ...</v>
          </cell>
          <cell r="F227">
            <v>2025</v>
          </cell>
          <cell r="G227">
            <v>0</v>
          </cell>
          <cell r="H227" t="str">
            <v>Other</v>
          </cell>
          <cell r="I227" t="str">
            <v>-</v>
          </cell>
        </row>
        <row r="228">
          <cell r="C228" t="str">
            <v>Implementasi dan Analisis Pemasangan PLTS ON-GRID 50 Kw di Mavica Maju Bersama</v>
          </cell>
          <cell r="D228" t="str">
            <v>EB Satria, M Amirudin, I Harjanto</v>
          </cell>
          <cell r="E228" t="str">
            <v>Science and Engineering National Seminar (SENS)</v>
          </cell>
          <cell r="F228">
            <v>2025</v>
          </cell>
          <cell r="G228">
            <v>0</v>
          </cell>
          <cell r="H228" t="str">
            <v>National Proceeding</v>
          </cell>
          <cell r="I228" t="str">
            <v>-</v>
          </cell>
        </row>
        <row r="229">
          <cell r="C229" t="str">
            <v>PERANCANGAN DAN IMPLEMENTASI SISTEM KONTROL POMPA AIR DC 12V OTOMATIS DENGAN LOGIKA FUZZY BERBASIS ESP32</v>
          </cell>
          <cell r="D229" t="str">
            <v>AY Kusuma, I Harjanto, S Ristanto</v>
          </cell>
          <cell r="E229" t="str">
            <v>Science and Engineering National Seminar (SENS)</v>
          </cell>
          <cell r="F229">
            <v>2025</v>
          </cell>
          <cell r="G229">
            <v>0</v>
          </cell>
          <cell r="H229" t="str">
            <v>National Proceeding</v>
          </cell>
          <cell r="I229" t="str">
            <v>-</v>
          </cell>
        </row>
        <row r="230">
          <cell r="C230" t="str">
            <v>Implementasi Logika Fuzzy pada Sistem Pengereman Otomatis (Automatic Braking System) Robot Mobil Berdasarkan Jarak Objek</v>
          </cell>
          <cell r="D230" t="str">
            <v>TN Muna, A Lusandi, I Harjanto</v>
          </cell>
          <cell r="E230" t="str">
            <v>Science and Engineering National Seminar (SENS)</v>
          </cell>
          <cell r="F230">
            <v>2025</v>
          </cell>
          <cell r="G230">
            <v>0</v>
          </cell>
          <cell r="H230" t="str">
            <v>National Proceeding</v>
          </cell>
          <cell r="I230" t="str">
            <v>-</v>
          </cell>
        </row>
        <row r="231">
          <cell r="C231" t="str">
            <v>Sistem Palang Pintu Parkir Otomatis Dengan Akses Kartu Tanda Mahasiswa Menggunakan RFID-RC522</v>
          </cell>
          <cell r="D231" t="str">
            <v>A Latif, I Harjanto</v>
          </cell>
          <cell r="E231" t="str">
            <v>ID Patent EC002,024,266,627</v>
          </cell>
          <cell r="F231">
            <v>2024</v>
          </cell>
          <cell r="G231">
            <v>0</v>
          </cell>
          <cell r="H231" t="str">
            <v>Patent</v>
          </cell>
          <cell r="I231" t="str">
            <v>-</v>
          </cell>
        </row>
        <row r="232">
          <cell r="C232" t="str">
            <v>PENDAMPINGAN PEMBENAHAN INSTALASI JARINGAN INTERNET LPQ ANNUR TANGGUL MAS BARAT SEMARANG</v>
          </cell>
          <cell r="D232" t="str">
            <v>M Amiruddin, I Harjanto, M Margono, N Aksin, S Supriyadi</v>
          </cell>
          <cell r="E232" t="str">
            <v>Community Development Journal: Jurnal Pengabdian Masyarakat</v>
          </cell>
          <cell r="F232">
            <v>2024</v>
          </cell>
          <cell r="G232">
            <v>0</v>
          </cell>
          <cell r="H232" t="str">
            <v>Community Service Journal</v>
          </cell>
          <cell r="I232" t="str">
            <v>S3-S5</v>
          </cell>
        </row>
        <row r="233">
          <cell r="C233" t="str">
            <v>DESAIN SISTEM KENDALI SUHU RUANG PEMANAS DENGAN METODE ULTIMATE CYCLE</v>
          </cell>
          <cell r="D233" t="str">
            <v>M Amiruddin, I Harjanto, BH Kunaryo</v>
          </cell>
          <cell r="E233" t="str">
            <v>JURNAL TEKNOLOGI INFORMASI DAN KOMUNIKASI</v>
          </cell>
          <cell r="F233">
            <v>2024</v>
          </cell>
          <cell r="G233">
            <v>0</v>
          </cell>
          <cell r="H233" t="str">
            <v>National Journal</v>
          </cell>
          <cell r="I233" t="str">
            <v>-</v>
          </cell>
        </row>
        <row r="234">
          <cell r="C234" t="str">
            <v>Pengelolaan Banjir Dengan Sistem Polder Berbasis Teknologi  Informasi Dan IoT</v>
          </cell>
          <cell r="D234" t="str">
            <v>IH Ikhwanudin</v>
          </cell>
          <cell r="E234" t="str">
            <v>ID Patent EC00,202,485,642</v>
          </cell>
          <cell r="F234">
            <v>2024</v>
          </cell>
          <cell r="G234">
            <v>0</v>
          </cell>
          <cell r="H234" t="str">
            <v>Patent</v>
          </cell>
          <cell r="I234" t="str">
            <v>-</v>
          </cell>
        </row>
        <row r="235">
          <cell r="C235" t="str">
            <v>Flood Management in the Babon River Watershed, Semarang City.</v>
          </cell>
          <cell r="D235" t="str">
            <v>I Harjanto, F Yudaningrum</v>
          </cell>
          <cell r="E235" t="str">
            <v>KnE Social Sciences</v>
          </cell>
          <cell r="F235">
            <v>2024</v>
          </cell>
          <cell r="G235">
            <v>0</v>
          </cell>
          <cell r="H235" t="str">
            <v>International Proceeding</v>
          </cell>
          <cell r="I235" t="str">
            <v>-</v>
          </cell>
        </row>
        <row r="236">
          <cell r="C236" t="str">
            <v>Flood Management in the Babon River Watershed, Semarang City</v>
          </cell>
          <cell r="D236" t="str">
            <v>F Yudaningrum, I Harjanto</v>
          </cell>
          <cell r="E236" t="str">
            <v>KnE Social Sciences, 500–507-500–507</v>
          </cell>
          <cell r="F236">
            <v>2024</v>
          </cell>
          <cell r="G236">
            <v>0</v>
          </cell>
          <cell r="H236" t="str">
            <v>International Proceeding</v>
          </cell>
          <cell r="I236" t="str">
            <v>-</v>
          </cell>
        </row>
        <row r="237">
          <cell r="C237" t="str">
            <v>PERBANDINGAN KARAKTERISTIK LINEARITAS ANTARA SENSOR ULTRASONIK HC-SR04 DAN SRF05</v>
          </cell>
          <cell r="D237" t="str">
            <v>RMN Muslikhan, H Widiyanto, I Harjanto</v>
          </cell>
          <cell r="E237" t="str">
            <v>Science and Engineering National Seminar (SENS)</v>
          </cell>
          <cell r="F237">
            <v>2024</v>
          </cell>
          <cell r="G237">
            <v>0</v>
          </cell>
          <cell r="H237" t="str">
            <v>National Proceeding</v>
          </cell>
          <cell r="I237" t="str">
            <v>-</v>
          </cell>
        </row>
        <row r="238">
          <cell r="C238" t="str">
            <v>RANCANGAN BANGUN KEBUTUHAN ACESSPOINT DI GEDUNG UTAMA UNIVERSITAS PGRI SEMARANG</v>
          </cell>
          <cell r="D238" t="str">
            <v>B Hadi Kunaryo, I Harjanto, M Amiruddin</v>
          </cell>
          <cell r="E238" t="str">
            <v>RANCANGAN BANGUN KEBUTUHAN ACESSPOINT DI GEDUNG UTAMA UNIVERSITAS PGRI …</v>
          </cell>
          <cell r="F238">
            <v>2023</v>
          </cell>
          <cell r="G238">
            <v>0</v>
          </cell>
          <cell r="H238" t="str">
            <v>National Journal</v>
          </cell>
          <cell r="I238" t="str">
            <v>-</v>
          </cell>
        </row>
        <row r="239">
          <cell r="C239" t="str">
            <v>PENGARUH AUGMENTASI DATA TERHADAP UNJUK KERJA MODEL PENDETEKSI WAJAH MENGGUNAKAN CNN</v>
          </cell>
          <cell r="D239" t="str">
            <v>I Harjanto, M Amiruddin, Margono</v>
          </cell>
          <cell r="E239" t="str">
            <v>Seminar Nasional Hasil Penelitian dan Pengabdian kepada Masyarakat</v>
          </cell>
          <cell r="F239">
            <v>2023</v>
          </cell>
          <cell r="G239">
            <v>0</v>
          </cell>
          <cell r="H239" t="str">
            <v>National Proceeding</v>
          </cell>
          <cell r="I239" t="str">
            <v>S3-S5</v>
          </cell>
        </row>
        <row r="240">
          <cell r="C240" t="str">
            <v>ANALISA EFISIENSI TURBIN FRANCIS DI PLTM KAREKAN PAGENTAN BANJARNEGARA</v>
          </cell>
          <cell r="D240" t="str">
            <v>M Margono, I Harjanto</v>
          </cell>
          <cell r="E240" t="str">
            <v>MEKANIK: Jurnal Ilmiah Teknik Mesin</v>
          </cell>
          <cell r="F240">
            <v>2021</v>
          </cell>
          <cell r="G240">
            <v>0</v>
          </cell>
          <cell r="H240" t="str">
            <v>National Journal</v>
          </cell>
          <cell r="I240" t="str">
            <v>-</v>
          </cell>
        </row>
        <row r="241">
          <cell r="C241" t="str">
            <v>PERANCANGAN DATA LOGGER UNTUK SISTEM PEMANTUAN KERJA MOTOR POMPA</v>
          </cell>
          <cell r="D241" t="str">
            <v>SR Handoko, M Amiruddin, I Harjanto</v>
          </cell>
          <cell r="E241" t="str">
            <v>Proceeding Science and Engineering National Seminar</v>
          </cell>
          <cell r="F241">
            <v>2020</v>
          </cell>
          <cell r="G241">
            <v>0</v>
          </cell>
          <cell r="H241" t="str">
            <v>National Proceeding</v>
          </cell>
          <cell r="I241" t="str">
            <v>-</v>
          </cell>
        </row>
        <row r="242">
          <cell r="C242" t="str">
            <v>PEMANFAATAN SENSOR GETARAN UNTUK SISTEM PEMANTAUAN KERJA MOTOR POMPA</v>
          </cell>
          <cell r="D242" t="str">
            <v>N Fadlilah, M Amiruddin, I Harjanto</v>
          </cell>
          <cell r="E242" t="str">
            <v>Proceeding Science and Engineering National Seminar</v>
          </cell>
          <cell r="F242">
            <v>2020</v>
          </cell>
          <cell r="G242">
            <v>0</v>
          </cell>
          <cell r="H242" t="str">
            <v>National Proceeding</v>
          </cell>
          <cell r="I242" t="str">
            <v>-</v>
          </cell>
        </row>
        <row r="243">
          <cell r="C243" t="str">
            <v>SISTEM KENDALI PERALATAN ON/OFF VIA WEB</v>
          </cell>
          <cell r="D243" t="str">
            <v>M Amiruddin, I Harjanto, RS Wardhana</v>
          </cell>
          <cell r="E243" t="str">
            <v>Prosiding Sains Nasional dan Teknologi</v>
          </cell>
          <cell r="F243">
            <v>2014</v>
          </cell>
          <cell r="G243">
            <v>0</v>
          </cell>
          <cell r="H243" t="str">
            <v>National Proceeding</v>
          </cell>
          <cell r="I243" t="str">
            <v>-</v>
          </cell>
        </row>
        <row r="244">
          <cell r="C244" t="str">
            <v>PENGEMBANGAN SISTEM INFORMASI UNTUK PENGELOLAAN PERANGKAT BASE STATION BERDASARKAN PEMETAAN KAPASITAS TRAFIK DAN JANGKAUAN PADA PT TELKOM AREA OPERASIONAL JAWA TENGAH</v>
          </cell>
          <cell r="D244" t="str">
            <v>I Harjanto</v>
          </cell>
          <cell r="E244" t="str">
            <v>Universitas Gadjah Mada</v>
          </cell>
          <cell r="F244">
            <v>2011</v>
          </cell>
          <cell r="G244">
            <v>0</v>
          </cell>
          <cell r="H244" t="str">
            <v>National Journal</v>
          </cell>
          <cell r="I244" t="str">
            <v>-</v>
          </cell>
        </row>
        <row r="245">
          <cell r="C245" t="str">
            <v>Numerical calculation of the performance of a thermoacoustic system with engine and cooler stacks in a looped tube</v>
          </cell>
          <cell r="D245" t="str">
            <v>I Farikhah, Y Ueda</v>
          </cell>
          <cell r="E245" t="str">
            <v>Applied Sciences</v>
          </cell>
          <cell r="F245">
            <v>2017</v>
          </cell>
          <cell r="G245">
            <v>24</v>
          </cell>
          <cell r="H245" t="str">
            <v>International Journal</v>
          </cell>
          <cell r="I245" t="str">
            <v>-</v>
          </cell>
        </row>
        <row r="246">
          <cell r="C246" t="str">
            <v>The effect of mean pressure on the performance of a single-stage heat-driven thermoacoustic cooler</v>
          </cell>
          <cell r="D246" t="str">
            <v>I Farikhah</v>
          </cell>
          <cell r="E246" t="str">
            <v>International Journal of Low-Carbon Technologies</v>
          </cell>
          <cell r="F246">
            <v>2020</v>
          </cell>
          <cell r="G246">
            <v>20</v>
          </cell>
          <cell r="H246" t="str">
            <v>International Journal</v>
          </cell>
          <cell r="I246" t="str">
            <v>-</v>
          </cell>
        </row>
        <row r="247">
          <cell r="C247" t="str">
            <v>Analisis bahan ajar fisika berdasarkan perspektif education for sustainable development</v>
          </cell>
          <cell r="D247" t="str">
            <v>R Wijayanti, F Roshayanti, I Farikhah, N Khoiri, J Siswanto</v>
          </cell>
          <cell r="E247" t="str">
            <v>Jurnal Kependidikan: Jurnal Hasil Penelitian dan Kajian Kepustakaan di …</v>
          </cell>
          <cell r="F247">
            <v>2021</v>
          </cell>
          <cell r="G247">
            <v>19</v>
          </cell>
          <cell r="H247" t="str">
            <v>National Journal</v>
          </cell>
          <cell r="I247" t="str">
            <v>-</v>
          </cell>
        </row>
        <row r="248">
          <cell r="C248" t="str">
            <v>Penyuluhan Identifikasi Potensi Energi Matahari Sebagai Sumber Listrik di SD Negeri Tambakharjo Semarang</v>
          </cell>
          <cell r="D248" t="str">
            <v>A Kusmantoro, I Farikhah</v>
          </cell>
          <cell r="E248" t="str">
            <v>J-ADIMAS (Jurnal Pengabdian Kepada Masyarakat)</v>
          </cell>
          <cell r="F248">
            <v>2022</v>
          </cell>
          <cell r="G248">
            <v>15</v>
          </cell>
          <cell r="H248" t="str">
            <v>Community Service Journal</v>
          </cell>
          <cell r="I248" t="str">
            <v>S3-S5</v>
          </cell>
        </row>
        <row r="249">
          <cell r="C249" t="str">
            <v>Thermoacoustic design using stem of goose down stack</v>
          </cell>
          <cell r="D249" t="str">
            <v>I Farikhah, S Ristanto, H Idrus, U Kaltsum, A Faisal, I Setiawan, ...</v>
          </cell>
          <cell r="E249" t="str">
            <v>AIP Conference Proceedings</v>
          </cell>
          <cell r="F249">
            <v>2012</v>
          </cell>
          <cell r="G249">
            <v>13</v>
          </cell>
          <cell r="H249" t="str">
            <v>International Proceeding</v>
          </cell>
          <cell r="I249" t="str">
            <v>-</v>
          </cell>
        </row>
        <row r="250">
          <cell r="C250" t="str">
            <v>Kajian Pengembangan Media Pembelajaran IPA Menggunakan Fotonovela Berbasis Pendidikan Karakter</v>
          </cell>
          <cell r="D250" t="str">
            <v>A Rahayu, NAN Murniati, I Farikhah</v>
          </cell>
          <cell r="E250" t="str">
            <v>lpf2013</v>
          </cell>
          <cell r="F250">
            <v>2013</v>
          </cell>
          <cell r="G250">
            <v>12</v>
          </cell>
          <cell r="H250" t="str">
            <v>National Journal</v>
          </cell>
          <cell r="I250" t="str">
            <v>-</v>
          </cell>
        </row>
        <row r="251">
          <cell r="C251" t="str">
            <v>Numerical study on the effect of stack radii on the low onset heating temperature and efficiency of 4-stage thermoacoustic engine</v>
          </cell>
          <cell r="D251" t="str">
            <v>I Farikhah, EA Elsharkawy, AS Saad, T Atia</v>
          </cell>
          <cell r="E251" t="str">
            <v>Arabian Journal for Science and Engineering</v>
          </cell>
          <cell r="F251">
            <v>2023</v>
          </cell>
          <cell r="G251">
            <v>10</v>
          </cell>
          <cell r="H251" t="str">
            <v>International Journal</v>
          </cell>
          <cell r="I251" t="str">
            <v>-</v>
          </cell>
        </row>
        <row r="252">
          <cell r="C252" t="str">
            <v>Numerical study of the influence of radius stack on the low heating temperature and efficiency of traveling wave thermoacoustic engine</v>
          </cell>
          <cell r="D252" t="str">
            <v>SW Utami, I Farikhah, N Khoiri, S Patonah, U Kultsum, S Suciati</v>
          </cell>
          <cell r="E252" t="str">
            <v>Journal of Physics: Conference Series</v>
          </cell>
          <cell r="F252">
            <v>2020</v>
          </cell>
          <cell r="G252">
            <v>10</v>
          </cell>
          <cell r="H252" t="str">
            <v>International Proceeding</v>
          </cell>
          <cell r="I252" t="str">
            <v>-</v>
          </cell>
        </row>
        <row r="253">
          <cell r="C253" t="str">
            <v>Study of stack length on efficiency of thermoacoustic engine</v>
          </cell>
          <cell r="D253" t="str">
            <v>I Farikhah, EA Elsharkawy, H Nuroso, M Novita, D Marlina, ...</v>
          </cell>
          <cell r="E253" t="str">
            <v>2021 IEEE 3rd Eurasia Conference on IOT, Communication and Engineering …</v>
          </cell>
          <cell r="F253">
            <v>2021</v>
          </cell>
          <cell r="G253">
            <v>9</v>
          </cell>
          <cell r="H253" t="str">
            <v>International Proceeding</v>
          </cell>
          <cell r="I253" t="str">
            <v>-</v>
          </cell>
        </row>
        <row r="254">
          <cell r="C254" t="str">
            <v>Numerical Study on the Effect of Mean Pressure and Loop's Radius to the Onset Temperature and Efficiency of Traveling Wave Termoacustic Engine</v>
          </cell>
          <cell r="D254" t="str">
            <v>ED Rokhmawati, I Farikhah, U Kaltsum, H Nuroso, A Burhanudin, ...</v>
          </cell>
          <cell r="E254" t="str">
            <v>Automotive Experiences</v>
          </cell>
          <cell r="F254">
            <v>2020</v>
          </cell>
          <cell r="G254">
            <v>9</v>
          </cell>
          <cell r="H254" t="str">
            <v>National Journal</v>
          </cell>
          <cell r="I254" t="str">
            <v>S3</v>
          </cell>
        </row>
        <row r="255">
          <cell r="C255" t="str">
            <v>The effect of the porosity of regenerators on the performance of a heat-driven thermoacoustic cooler</v>
          </cell>
          <cell r="D255" t="str">
            <v>I Farikhah, Y Ueda</v>
          </cell>
          <cell r="E255" t="str">
            <v>Proceeding of the 24th International Conference on Sound and Vibration (24 ICSV)</v>
          </cell>
          <cell r="F255">
            <v>2017</v>
          </cell>
          <cell r="G255">
            <v>8</v>
          </cell>
          <cell r="H255" t="str">
            <v>International Proceeding</v>
          </cell>
          <cell r="I255" t="str">
            <v>-</v>
          </cell>
        </row>
        <row r="256">
          <cell r="C256" t="str">
            <v>Calculation of energy conversion efficiency of a stack-screen Regenerator using thermoacoustic theory</v>
          </cell>
          <cell r="D256" t="str">
            <v>Y Ueda, I Farikhah</v>
          </cell>
          <cell r="E256" t="str">
            <v>TEION KOGAKU (Journal of Cryogenics and Superconductivity Society of Japan …</v>
          </cell>
          <cell r="F256">
            <v>2016</v>
          </cell>
          <cell r="G256">
            <v>8</v>
          </cell>
          <cell r="H256" t="str">
            <v>National Journal</v>
          </cell>
          <cell r="I256" t="str">
            <v>-</v>
          </cell>
        </row>
        <row r="257">
          <cell r="C257" t="str">
            <v>Optimization of a heat-driven thermoacoustic cooler in a looped tube with two stacks</v>
          </cell>
          <cell r="D257" t="str">
            <v>I Farikhah</v>
          </cell>
          <cell r="E257" t="str">
            <v>(No Title)</v>
          </cell>
          <cell r="F257">
            <v>2018</v>
          </cell>
          <cell r="G257">
            <v>7</v>
          </cell>
          <cell r="H257" t="str">
            <v>National Journal</v>
          </cell>
          <cell r="I257" t="str">
            <v>-</v>
          </cell>
        </row>
        <row r="258">
          <cell r="C258" t="str">
            <v>Solar power and multi-battery for new configuration DC microgrid using centralized control</v>
          </cell>
          <cell r="D258" t="str">
            <v>A Kusmantoro, I Farikhan</v>
          </cell>
          <cell r="E258" t="str">
            <v>Archives of Electrical Engineering</v>
          </cell>
          <cell r="F258">
            <v>2023</v>
          </cell>
          <cell r="G258">
            <v>6</v>
          </cell>
          <cell r="H258" t="str">
            <v>International Journal</v>
          </cell>
          <cell r="I258" t="str">
            <v>-</v>
          </cell>
        </row>
        <row r="259">
          <cell r="C259" t="str">
            <v>Kajian Numerik Pengaruh Jari-Jari Stack terhadap Pemanasan Suhu Rendah Mesin Termoakustik Gelombang Berjalan</v>
          </cell>
          <cell r="D259" t="str">
            <v>SW Utami, I Farikhah, N Khoiri, S Patonah, U Kaltsum</v>
          </cell>
          <cell r="E259" t="str">
            <v>Prosiding Seminar Nasional Lontar Physics Forum, 23-30</v>
          </cell>
          <cell r="F259">
            <v>2019</v>
          </cell>
          <cell r="G259">
            <v>6</v>
          </cell>
          <cell r="H259" t="str">
            <v>National Proceeding</v>
          </cell>
          <cell r="I259" t="str">
            <v>-</v>
          </cell>
        </row>
        <row r="260">
          <cell r="C260" t="str">
            <v>Pemanfaatan projected motion media untuk meningkatkan pemahaman konsep mahasiswa pada mata kuliah ilmu pengetahuan bumi dan antariksa (IPBA)</v>
          </cell>
          <cell r="D260" t="str">
            <v>N Khoiri, I Farikhah, U Sucipto</v>
          </cell>
          <cell r="E260" t="str">
            <v>Jurnal Penelitian Pembelajaran Fisika</v>
          </cell>
          <cell r="F260">
            <v>2011</v>
          </cell>
          <cell r="G260">
            <v>6</v>
          </cell>
          <cell r="H260" t="str">
            <v>National Journal</v>
          </cell>
          <cell r="I260" t="str">
            <v>-</v>
          </cell>
        </row>
        <row r="261">
          <cell r="C261" t="str">
            <v>Improvement the Capacity of Electrical Energy in Residential Using PV With On-Grid System</v>
          </cell>
          <cell r="D261" t="str">
            <v>A Kusmantoro</v>
          </cell>
          <cell r="F261">
            <v>2022</v>
          </cell>
          <cell r="G261">
            <v>5</v>
          </cell>
          <cell r="H261" t="str">
            <v>Other</v>
          </cell>
          <cell r="I261" t="str">
            <v>-</v>
          </cell>
        </row>
        <row r="262">
          <cell r="C262" t="str">
            <v>Chromaticity coordinates of ruby based on first-principles calculation</v>
          </cell>
          <cell r="D262" t="str">
            <v>M Novita, I Farikhah, RMD Ujianti, D Marlina, B Walker, H Kiyooka, ...</v>
          </cell>
          <cell r="E262" t="str">
            <v>Optical Materials 121, 111539</v>
          </cell>
          <cell r="F262">
            <v>2021</v>
          </cell>
          <cell r="G262">
            <v>5</v>
          </cell>
          <cell r="H262" t="str">
            <v>International Journal</v>
          </cell>
          <cell r="I262" t="str">
            <v>-</v>
          </cell>
        </row>
        <row r="263">
          <cell r="C263" t="str">
            <v>Power management on DC microgrid with new DC coupling based on fuzzy logic</v>
          </cell>
          <cell r="D263" t="str">
            <v>A Kusmantoro</v>
          </cell>
          <cell r="E263" t="str">
            <v>Indonesian Journal of Electrical Engineering and Computer Science 32 (2 …</v>
          </cell>
          <cell r="F263">
            <v>2023</v>
          </cell>
          <cell r="G263">
            <v>4</v>
          </cell>
          <cell r="H263" t="str">
            <v>National Journal</v>
          </cell>
          <cell r="I263" t="str">
            <v>S3</v>
          </cell>
        </row>
        <row r="264">
          <cell r="C264" t="str">
            <v>Construction and testing of small-scale thermoacoustic electricity generator with different heating power</v>
          </cell>
          <cell r="D264" t="str">
            <v>I Setiawan, I Farikhah, A Rahmawati</v>
          </cell>
          <cell r="E264" t="str">
            <v>Thermal Science 28 (3 Part B), 2551-2563</v>
          </cell>
          <cell r="F264">
            <v>2024</v>
          </cell>
          <cell r="G264">
            <v>3</v>
          </cell>
          <cell r="H264" t="str">
            <v>International Journal</v>
          </cell>
          <cell r="I264" t="str">
            <v>-</v>
          </cell>
        </row>
        <row r="265">
          <cell r="C265" t="str">
            <v>Poly Lactic-co-Glycolic Acid Nanoparticles: Flow Rates and Gauge Sizes Influence the Droplet Surface Tension and Particle Sizing</v>
          </cell>
          <cell r="D265" t="str">
            <v>A Shakri, MAI Shawaludin, IFM Suffian, I Farikhah, KM Pa’ad</v>
          </cell>
          <cell r="E265" t="str">
            <v>Journal of Research in Nanoscience and Nanotechnology</v>
          </cell>
          <cell r="F265">
            <v>2023</v>
          </cell>
          <cell r="G265">
            <v>3</v>
          </cell>
          <cell r="H265" t="str">
            <v>International Journal</v>
          </cell>
          <cell r="I265" t="str">
            <v>-</v>
          </cell>
        </row>
        <row r="266">
          <cell r="C266" t="str">
            <v>Socialization and Training of Solar Power Generation (PLTS) at SD Negeri Tambakharjo Semarang</v>
          </cell>
          <cell r="D266" t="str">
            <v>A Kusmantoro, I Farikhah</v>
          </cell>
          <cell r="E266" t="str">
            <v>Dimas: Jurnal Pemikiran Agama untuk Pemberdayaan</v>
          </cell>
          <cell r="F266">
            <v>2022</v>
          </cell>
          <cell r="G266">
            <v>3</v>
          </cell>
          <cell r="H266" t="str">
            <v>Community Service Journal</v>
          </cell>
          <cell r="I266" t="str">
            <v>-</v>
          </cell>
        </row>
        <row r="267">
          <cell r="C267" t="str">
            <v>PKM kampung onsin (olahan singkong) menuju desa mandiri ekonomi di desa tamanrejo, kecamatan boja, kabupaten kendal</v>
          </cell>
          <cell r="D267" t="str">
            <v>DA Susanto, N Cholifah, M Munawar, I Menarianti, I Farikhah</v>
          </cell>
          <cell r="E267" t="str">
            <v>Seminar Nasional Hasil Penelitian dan Pengabdian Kepada Masyarakat</v>
          </cell>
          <cell r="F267">
            <v>2021</v>
          </cell>
          <cell r="G267">
            <v>3</v>
          </cell>
          <cell r="H267" t="str">
            <v>National Proceeding</v>
          </cell>
          <cell r="I267" t="str">
            <v>S3-S5</v>
          </cell>
        </row>
        <row r="268">
          <cell r="C268" t="str">
            <v>First-Principles calculations of the interconfigurational transition energies of 4fn-4fn-15d of Ln3+ ions in LiYF4 and CaF2</v>
          </cell>
          <cell r="D268" t="str">
            <v>M Novita, I Farikhah, D Marlina, CG Ma, B Walker, K Ogasawara</v>
          </cell>
          <cell r="E268" t="str">
            <v>Optical Materials 122, 111656</v>
          </cell>
          <cell r="F268">
            <v>2021</v>
          </cell>
          <cell r="G268">
            <v>3</v>
          </cell>
          <cell r="H268" t="str">
            <v>International Journal</v>
          </cell>
          <cell r="I268" t="str">
            <v>-</v>
          </cell>
        </row>
        <row r="269">
          <cell r="C269" t="str">
            <v>Penggunaan Model Pembelajaran Kooperatif Tipe Team Assisted Individualization (TAI) Dengan Pemanfaatan Lks Untuk Meningkatkan Hasil Belajar Siswa Kelas VII-G SMP N 12 Semarang …</v>
          </cell>
          <cell r="D269" t="str">
            <v>L Lastanto, NAN Murniati, I Farikhah</v>
          </cell>
          <cell r="E269" t="str">
            <v>lpf2013</v>
          </cell>
          <cell r="F269">
            <v>2013</v>
          </cell>
          <cell r="G269">
            <v>3</v>
          </cell>
          <cell r="H269" t="str">
            <v>National Journal</v>
          </cell>
          <cell r="I269" t="str">
            <v>-</v>
          </cell>
        </row>
        <row r="270">
          <cell r="C270" t="str">
            <v>Experimental investigation of a standing-wave thermoacoustic electricity generator with different working gases</v>
          </cell>
          <cell r="D270" t="str">
            <v>I Setiawan, I Farikhah, P Murti, AB Setio-Utomo</v>
          </cell>
          <cell r="E270" t="str">
            <v>Sādhanā</v>
          </cell>
          <cell r="F270">
            <v>2025</v>
          </cell>
          <cell r="G270">
            <v>2</v>
          </cell>
          <cell r="H270" t="str">
            <v>International Journal</v>
          </cell>
          <cell r="I270" t="str">
            <v>-</v>
          </cell>
        </row>
        <row r="271">
          <cell r="C271" t="str">
            <v>Performance of thermoacoustic cooler driven by thermoacoustic engine with different flow Channel Radii</v>
          </cell>
          <cell r="D271" t="str">
            <v>I Farikhah, S Supriyadi, M Novita, AN Masruri, H Nuroso, D Marlina</v>
          </cell>
          <cell r="E271" t="str">
            <v>2022 IEEE 4th Eurasia Conference on IOT, Communication and Engineering …</v>
          </cell>
          <cell r="F271">
            <v>2022</v>
          </cell>
          <cell r="G271">
            <v>2</v>
          </cell>
          <cell r="H271" t="str">
            <v>International Proceeding</v>
          </cell>
          <cell r="I271" t="str">
            <v>-</v>
          </cell>
        </row>
        <row r="272">
          <cell r="C272" t="str">
            <v>Pengembangan Instrumen Tes Critical Thinking Skill Dan Angket Science Motivation Siswa Materi Pesawat Sederhana</v>
          </cell>
          <cell r="D272" t="str">
            <v>I Sukmawati, J Siswanto, I Farikhah</v>
          </cell>
          <cell r="E272" t="str">
            <v>Jurnal Penelitian Pembelajaran Fisika</v>
          </cell>
          <cell r="F272">
            <v>2022</v>
          </cell>
          <cell r="G272">
            <v>2</v>
          </cell>
          <cell r="H272" t="str">
            <v>National Journal</v>
          </cell>
          <cell r="I272" t="str">
            <v>-</v>
          </cell>
        </row>
        <row r="273">
          <cell r="C273" t="str">
            <v>The Potential of Mechanic Vibration for Generating Electric Energy</v>
          </cell>
          <cell r="D273" t="str">
            <v>MAD Hakim, M Amiruddin, K Hasto, IH Margono, I Carsoni, ...</v>
          </cell>
          <cell r="E273" t="str">
            <v>Advance Sustainable Science, Engineering and Technology (ASSET)</v>
          </cell>
          <cell r="F273">
            <v>2020</v>
          </cell>
          <cell r="G273">
            <v>2</v>
          </cell>
          <cell r="H273" t="str">
            <v>National Journal</v>
          </cell>
          <cell r="I273" t="str">
            <v>S2</v>
          </cell>
        </row>
        <row r="274">
          <cell r="C274" t="str">
            <v>Power Flow Regulation of PLTS and Genset in Residential Using PLC Zelio</v>
          </cell>
          <cell r="D274" t="str">
            <v>A Kusmantoro, I Farikhah</v>
          </cell>
          <cell r="E274" t="str">
            <v>Jambura Journal of Electrical and Electronics Engineering</v>
          </cell>
          <cell r="F274">
            <v>2025</v>
          </cell>
          <cell r="G274">
            <v>1</v>
          </cell>
          <cell r="H274" t="str">
            <v>National Journal</v>
          </cell>
          <cell r="I274" t="str">
            <v>S2</v>
          </cell>
        </row>
        <row r="275">
          <cell r="C275" t="str">
            <v>Effect of prime mover regenerator radius on the performance and characteristic of acoustic field of thermoacoustic refrigerator driven by prime mover</v>
          </cell>
          <cell r="D275" t="str">
            <v>I Farikhah, RN Isnandi, I Setiawan, R Hermana, ED Rokhmawati, ...</v>
          </cell>
          <cell r="E275" t="str">
            <v>Thermal Science 28 (2 Part C), 1837-1848</v>
          </cell>
          <cell r="F275">
            <v>2024</v>
          </cell>
          <cell r="G275">
            <v>1</v>
          </cell>
          <cell r="H275" t="str">
            <v>International Journal</v>
          </cell>
          <cell r="I275" t="str">
            <v>-</v>
          </cell>
        </row>
        <row r="276">
          <cell r="C276" t="str">
            <v>Pengenalan Photovoltaik (PV) Dalam Sistem PLTS di SD Negeri Kalibanteng Kulon 01 Semarang</v>
          </cell>
          <cell r="D276" t="str">
            <v>A Kusmantoro, TI Wardani, I Farikhah</v>
          </cell>
          <cell r="E276" t="str">
            <v>Seminar Nasional Hasil Penelitian Dan Pengabdian Kepada Masyarakat</v>
          </cell>
          <cell r="F276">
            <v>2023</v>
          </cell>
          <cell r="G276">
            <v>1</v>
          </cell>
          <cell r="H276" t="str">
            <v>National Proceeding</v>
          </cell>
          <cell r="I276" t="str">
            <v>S3-S5</v>
          </cell>
        </row>
        <row r="277">
          <cell r="C277" t="str">
            <v>Study on the optimal stack diameter on the efficiency of thermoacoustic engine</v>
          </cell>
          <cell r="D277" t="str">
            <v>I Farikhah, EA Elsharkawy, H Nuroso, M Novita, D Marlina, ...</v>
          </cell>
          <cell r="E277" t="str">
            <v>RECENT ADVANCEMENTS IN THERMOFLUID ENGINEERING</v>
          </cell>
          <cell r="F277">
            <v>2023</v>
          </cell>
          <cell r="G277">
            <v>1</v>
          </cell>
          <cell r="H277" t="str">
            <v>National Journal</v>
          </cell>
          <cell r="I277" t="str">
            <v>-</v>
          </cell>
        </row>
        <row r="278">
          <cell r="C278" t="str">
            <v>The effect of regenerator’s radii on low heating temperature of 4-stage thermoacoustic engine utilizing solar and waste heat</v>
          </cell>
          <cell r="D278" t="str">
            <v>I Farikhah, H Nuroso, M Novita, D Marlina, S Supriyadi, Carsoni</v>
          </cell>
          <cell r="E278" t="str">
            <v>THE 3RD UPY INTERNATIONAL CONFERENCE ON APPLIED SCIENCE AND EDUCATION …</v>
          </cell>
          <cell r="F278">
            <v>2023</v>
          </cell>
          <cell r="G278">
            <v>1</v>
          </cell>
          <cell r="H278" t="str">
            <v>International Proceeding</v>
          </cell>
          <cell r="I278" t="str">
            <v>-</v>
          </cell>
        </row>
        <row r="279">
          <cell r="C279" t="str">
            <v>Study on the Influence of Engine Stack Length on the Efficiency of A Heat-driven Thermoacoustic Refrigerator</v>
          </cell>
          <cell r="D279" t="str">
            <v>I Farikhah, A Mukhtar, A Muslim, MB Nasr, A Burhanuddin, AN Masruri</v>
          </cell>
          <cell r="E279" t="str">
            <v>Proc. International Conference on Mechanical, Automotive and Mechatronics …</v>
          </cell>
          <cell r="F279">
            <v>2023</v>
          </cell>
          <cell r="G279">
            <v>1</v>
          </cell>
          <cell r="H279" t="str">
            <v>International Proceeding</v>
          </cell>
          <cell r="I279" t="str">
            <v>-</v>
          </cell>
        </row>
        <row r="280">
          <cell r="C280" t="str">
            <v>Real-Time Microgrid Centralized Control For Consuming Water Pump</v>
          </cell>
          <cell r="D280" t="str">
            <v>A Kusmantoro, I Farikhah</v>
          </cell>
          <cell r="E280" t="str">
            <v>E3S Web of Conferences 465, 02003</v>
          </cell>
          <cell r="F280">
            <v>2023</v>
          </cell>
          <cell r="G280">
            <v>1</v>
          </cell>
          <cell r="H280" t="str">
            <v>International Proceeding</v>
          </cell>
          <cell r="I280" t="str">
            <v>-</v>
          </cell>
        </row>
        <row r="281">
          <cell r="C281" t="str">
            <v>Planning of Air Conditioner Cooling Load In The Dean Room Of The Faculty Of Engineering and Information Technology University Of PGRI Semarang</v>
          </cell>
          <cell r="D281" t="str">
            <v>S Supriyadi, I Farikhah, S Suhartono</v>
          </cell>
          <cell r="E281" t="str">
            <v>Journal of Materials Exploration and Findings</v>
          </cell>
          <cell r="F281">
            <v>2022</v>
          </cell>
          <cell r="G281">
            <v>1</v>
          </cell>
          <cell r="H281" t="str">
            <v>National Journal</v>
          </cell>
          <cell r="I281" t="str">
            <v>-</v>
          </cell>
        </row>
        <row r="282">
          <cell r="C282" t="str">
            <v>Current and Voltage Imbalances at BPTIK Universitas PGRI Semarang</v>
          </cell>
          <cell r="D282" t="str">
            <v>M Margono, M Amiruddin, I Farikhah</v>
          </cell>
          <cell r="E282" t="str">
            <v>Advance Sustainable Science, Engineering and Technology</v>
          </cell>
          <cell r="F282">
            <v>2021</v>
          </cell>
          <cell r="G282">
            <v>1</v>
          </cell>
          <cell r="H282" t="str">
            <v>National Journal</v>
          </cell>
          <cell r="I282" t="str">
            <v>S2</v>
          </cell>
        </row>
        <row r="283">
          <cell r="C283" t="str">
            <v>Study of thermomechanical effects of main chain liquid crystal elastomer as function of crosslinker concentration</v>
          </cell>
          <cell r="D283" t="str">
            <v>I Farikhah, Y Yusuf</v>
          </cell>
          <cell r="E283" t="str">
            <v>Jurnal Sains Materi Indonesia</v>
          </cell>
          <cell r="F283">
            <v>2018</v>
          </cell>
          <cell r="G283">
            <v>1</v>
          </cell>
          <cell r="H283" t="str">
            <v>National Journal</v>
          </cell>
          <cell r="I283" t="str">
            <v>-</v>
          </cell>
        </row>
        <row r="284">
          <cell r="C284" t="str">
            <v>Testing aluminium and polytetrafluoroethylene as triboelectric materials for acoustic triboelectric nanogenerators</v>
          </cell>
          <cell r="D284" t="str">
            <v>MIB Zambri, IBA Rahim, ZBM Zain, MSB Saad, MFNB Tajuddin, ...</v>
          </cell>
          <cell r="E284" t="str">
            <v>International Journal of Nanoelectronics and Materials (IJNeaM)</v>
          </cell>
          <cell r="F284">
            <v>2026</v>
          </cell>
          <cell r="G284">
            <v>0</v>
          </cell>
          <cell r="H284" t="str">
            <v>International Journal</v>
          </cell>
          <cell r="I284" t="str">
            <v>-</v>
          </cell>
        </row>
        <row r="285">
          <cell r="C285" t="str">
            <v>Effect of flow channel radius on the energy conversion of thermoacoustic machine for different ambient temperature</v>
          </cell>
          <cell r="D285" t="str">
            <v>I Farikhah, PN Mohd, S Wibowo, N Khoiri, S Ristanto, R Hermana</v>
          </cell>
          <cell r="E285" t="str">
            <v>Thermal Science, 19-19</v>
          </cell>
          <cell r="F285">
            <v>2026</v>
          </cell>
          <cell r="G285">
            <v>0</v>
          </cell>
          <cell r="H285" t="str">
            <v>International Journal</v>
          </cell>
          <cell r="I285" t="str">
            <v>-</v>
          </cell>
        </row>
        <row r="286">
          <cell r="C286" t="str">
            <v>Heat-driven thermoacoustic cooling technologies: A comprehensive review and future prospects for hot climate applications</v>
          </cell>
          <cell r="D286" t="str">
            <v>I Farikhah, AM Bahman</v>
          </cell>
          <cell r="E286" t="str">
            <v>International Journal of Refrigeration</v>
          </cell>
          <cell r="F286">
            <v>2025</v>
          </cell>
          <cell r="G286">
            <v>0</v>
          </cell>
          <cell r="H286" t="str">
            <v>International Journal</v>
          </cell>
          <cell r="I286" t="str">
            <v>-</v>
          </cell>
        </row>
        <row r="287">
          <cell r="C287" t="str">
            <v>Performance Evaluation of Helium-Based Binary Gas Mixtures in Standing-Wave Thermoacoustic Electricity Generator</v>
          </cell>
          <cell r="D287" t="str">
            <v>I Setiawan, P Murti, I Farikhah, ABS Utomo</v>
          </cell>
          <cell r="E287" t="str">
            <v>Results in Engineering, 106332</v>
          </cell>
          <cell r="F287">
            <v>2025</v>
          </cell>
          <cell r="G287">
            <v>0</v>
          </cell>
          <cell r="H287" t="str">
            <v>International Journal</v>
          </cell>
          <cell r="I287" t="str">
            <v>-</v>
          </cell>
        </row>
        <row r="288">
          <cell r="C288" t="str">
            <v>PERENCANAAN INSTALASI PEMASANGAN CCTV GEDUNG MESS GETS HOTEL DENGAN MANAJEMEN IP ADDRESS BERBASIS ZONASI LANTAI</v>
          </cell>
          <cell r="D288" t="str">
            <v>H Widiyanto, G Winasis, I Farikhah</v>
          </cell>
          <cell r="E288" t="str">
            <v>Science and Engineering National Seminar (SENS)</v>
          </cell>
          <cell r="F288">
            <v>2025</v>
          </cell>
          <cell r="G288">
            <v>0</v>
          </cell>
          <cell r="H288" t="str">
            <v>National Proceeding</v>
          </cell>
          <cell r="I288" t="str">
            <v>-</v>
          </cell>
        </row>
        <row r="289">
          <cell r="C289" t="str">
            <v>Simulation of the effect of regenerator porosity on the performance of zero centrigade thermoacoustic cooler generated by the single-stage thermoacoustic machine for …</v>
          </cell>
          <cell r="D289" t="str">
            <v>I Farikhah, EP Aldiansyah, N Khoiri, S Ristanto, S Wibowo</v>
          </cell>
          <cell r="E289" t="str">
            <v>Widya Teknik</v>
          </cell>
          <cell r="F289">
            <v>2024</v>
          </cell>
          <cell r="G289">
            <v>0</v>
          </cell>
          <cell r="H289" t="str">
            <v>National Journal</v>
          </cell>
          <cell r="I289" t="str">
            <v>-</v>
          </cell>
        </row>
        <row r="290">
          <cell r="C290" t="str">
            <v>Pengenalan PLTS Sebagai Pembangkit Listrik Energi Terbarukan Bagi Siswa dan Guru SD Negeri Kalibanteng Kulon 01 Semarang</v>
          </cell>
          <cell r="D290" t="str">
            <v>A Kusmantoro, I Farikhah, TI Wardani</v>
          </cell>
          <cell r="E290" t="str">
            <v>J-ADIMAS (Jurnal Pengabdian Kepada Masyarakat)</v>
          </cell>
          <cell r="F290">
            <v>2024</v>
          </cell>
          <cell r="G290">
            <v>0</v>
          </cell>
          <cell r="H290" t="str">
            <v>Community Service Journal</v>
          </cell>
          <cell r="I290" t="str">
            <v>S3-S5</v>
          </cell>
        </row>
        <row r="291">
          <cell r="C291" t="str">
            <v>Pelatihan Majalah Dinding Digital Berbasis Web bagi Komunitas Seni Hysteria Semarang</v>
          </cell>
          <cell r="D291" t="str">
            <v>TI Wardani, A Kusmantoro, I Farikhah, FXD Purwosetiyono</v>
          </cell>
          <cell r="E291" t="str">
            <v>Pelita: Jurnal Pengabdian kepada Masyarakat</v>
          </cell>
          <cell r="F291">
            <v>2024</v>
          </cell>
          <cell r="G291">
            <v>0</v>
          </cell>
          <cell r="H291" t="str">
            <v>Community Service Journal</v>
          </cell>
          <cell r="I291" t="str">
            <v>S3-S5</v>
          </cell>
        </row>
        <row r="292">
          <cell r="C292" t="str">
            <v>Distribusi Tekanan Pada Instalasi Pompa Hydralic Ram (Hydram) Dengan Ventury Pada Pipa Isap</v>
          </cell>
          <cell r="D292" t="str">
            <v>CC Carsoni, S Supriyadi, I Farikhah</v>
          </cell>
          <cell r="E292" t="str">
            <v>Seminar Nasional Hasil Penelitian dan Pengabdian Kepada Masyarakat</v>
          </cell>
          <cell r="F292">
            <v>2021</v>
          </cell>
          <cell r="G292">
            <v>0</v>
          </cell>
          <cell r="H292" t="str">
            <v>National Proceeding</v>
          </cell>
          <cell r="I292" t="str">
            <v>S3-S5</v>
          </cell>
        </row>
        <row r="293">
          <cell r="C293" t="str">
            <v>Pengaruh Tekanan Gelombang terhadap Konversi Energi Termoakustik</v>
          </cell>
          <cell r="D293" t="str">
            <v>I Farikhah</v>
          </cell>
          <cell r="E293" t="str">
            <v>Seminar Nasional Hasil Penelitian dan Pengabdian Kepada Masyarakat</v>
          </cell>
          <cell r="F293">
            <v>2021</v>
          </cell>
          <cell r="G293">
            <v>0</v>
          </cell>
          <cell r="H293" t="str">
            <v>National Proceeding</v>
          </cell>
          <cell r="I293" t="str">
            <v>S3-S5</v>
          </cell>
        </row>
        <row r="294">
          <cell r="C294" t="str">
            <v>PENGEMBANGAN KETERAMPILAN PEMASARAN MELALUI FACEBOOK MASYARAKT KUMPULREJO KECAMATAN KALIWUNGU KABUPATEN KENDAL</v>
          </cell>
          <cell r="D294" t="str">
            <v>DF Setiawan, I Farikhah, MF Darmaputra</v>
          </cell>
          <cell r="E294" t="str">
            <v>Seminar Nasional Hasil Penelitian dan Pengabdian Kepada Masyarakat</v>
          </cell>
          <cell r="F294">
            <v>2020</v>
          </cell>
          <cell r="G294">
            <v>0</v>
          </cell>
          <cell r="H294" t="str">
            <v>National Proceeding</v>
          </cell>
          <cell r="I294" t="str">
            <v>S3-S5</v>
          </cell>
        </row>
        <row r="295">
          <cell r="C295" t="str">
            <v>KOLABORASI PROJECTEC MOTION MEDIA DAN CARTA DINDING DALAM METODE DISKUSI KELOMPOK YANG DIKEMAS DALAM LESSON STUDY GUNA PENINGKATAN AKTIVITAS BELAJAR DAN PEMAHAMAN KONSEP …</v>
          </cell>
          <cell r="D295" t="str">
            <v>I Farikhah, D Nuvitalia</v>
          </cell>
          <cell r="E295" t="str">
            <v>Pengembangan Model Pembelajaran Berbasis Kearifan Lokal Melalui Lesson Study …</v>
          </cell>
          <cell r="F295">
            <v>2013</v>
          </cell>
          <cell r="G295">
            <v>0</v>
          </cell>
          <cell r="H295" t="str">
            <v>National Journal</v>
          </cell>
          <cell r="I295" t="str">
            <v>-</v>
          </cell>
        </row>
        <row r="296">
          <cell r="C296" t="str">
            <v>Pengembangan CD Tutorial Mandiri Fisika Kelas X SMA</v>
          </cell>
          <cell r="D296" t="str">
            <v>E Susilo, NAN Murniati, I Farikhah</v>
          </cell>
          <cell r="E296" t="str">
            <v>lpf2013</v>
          </cell>
          <cell r="F296">
            <v>2013</v>
          </cell>
          <cell r="G296">
            <v>0</v>
          </cell>
          <cell r="H296" t="str">
            <v>National Journal</v>
          </cell>
          <cell r="I296" t="str">
            <v>-</v>
          </cell>
        </row>
        <row r="297">
          <cell r="C297" t="str">
            <v>Kajian efek-efek termo-mekanik dari main chain liquid crystal elastomer (MC-LCE) sebagai fungsi konsentrasi cross-linker</v>
          </cell>
          <cell r="D297" t="str">
            <v>I FARIKHAH</v>
          </cell>
          <cell r="E297" t="str">
            <v>Universitas Gadjah Mada</v>
          </cell>
          <cell r="F297">
            <v>2010</v>
          </cell>
          <cell r="G297">
            <v>0</v>
          </cell>
          <cell r="H297" t="str">
            <v>National Journal</v>
          </cell>
          <cell r="I297" t="str">
            <v>-</v>
          </cell>
        </row>
        <row r="298">
          <cell r="C298" t="str">
            <v>Results in Engineering</v>
          </cell>
          <cell r="D298" t="str">
            <v>I Setiawan, P Murti, I Farikhah, ABS Utomo</v>
          </cell>
          <cell r="G298">
            <v>0</v>
          </cell>
          <cell r="H298" t="str">
            <v>Other</v>
          </cell>
          <cell r="I298" t="str">
            <v>-</v>
          </cell>
        </row>
        <row r="299">
          <cell r="C299" t="str">
            <v>Turnitin Cyberbullying dalam Persepektif Islam</v>
          </cell>
          <cell r="D299" t="str">
            <v>C Carsoni, S Slamet Supriyadi, I Farikhah, N Aksin</v>
          </cell>
          <cell r="E299" t="str">
            <v>SNHP LPPM 2022, 0</v>
          </cell>
          <cell r="G299">
            <v>0</v>
          </cell>
          <cell r="H299" t="str">
            <v>Book/Thesis/Report</v>
          </cell>
          <cell r="I299" t="str">
            <v>-</v>
          </cell>
        </row>
        <row r="300">
          <cell r="C300" t="str">
            <v>Turnitin: Distribusi Tekanan Instalasi</v>
          </cell>
          <cell r="D300" t="str">
            <v>C Carsoni, S Slamet Supriyadi, I Farikhah, N Aksin</v>
          </cell>
          <cell r="E300" t="str">
            <v>SNHP LPPM 2022, 0</v>
          </cell>
          <cell r="G300">
            <v>0</v>
          </cell>
          <cell r="H300" t="str">
            <v>Book/Thesis/Report</v>
          </cell>
          <cell r="I300" t="str">
            <v>-</v>
          </cell>
        </row>
        <row r="301">
          <cell r="C301" t="str">
            <v>Automotive Experiences</v>
          </cell>
          <cell r="D301" t="str">
            <v>ED Rokhmawati, I Farikhah, U Kaltsum, H Nuroso, A Burhanudin, ...</v>
          </cell>
          <cell r="G301">
            <v>0</v>
          </cell>
          <cell r="H301" t="str">
            <v>Other</v>
          </cell>
          <cell r="I301" t="str">
            <v>-</v>
          </cell>
        </row>
        <row r="302">
          <cell r="C302" t="str">
            <v>2 つのスタックを有する熱駆動ループ管型熱音響冷却器の最適化</v>
          </cell>
          <cell r="D302" t="str">
            <v>I Farikhah</v>
          </cell>
          <cell r="G302">
            <v>0</v>
          </cell>
          <cell r="H302" t="str">
            <v>Other</v>
          </cell>
          <cell r="I302" t="str">
            <v>-</v>
          </cell>
        </row>
        <row r="303">
          <cell r="C303" t="str">
            <v>Carlès, D. Baltean 87 Choi, Pak-Kon 159 Clement, Gregory T. 239 Coulouvrat, François 19, 319, 331</v>
          </cell>
          <cell r="D303" t="str">
            <v>H Adachi, S Adachi, T Aida, K Aizawa, I Akiyama, M Alizadeh, ...</v>
          </cell>
          <cell r="G303">
            <v>0</v>
          </cell>
          <cell r="H303" t="str">
            <v>Other</v>
          </cell>
          <cell r="I303" t="str">
            <v>-</v>
          </cell>
        </row>
        <row r="304">
          <cell r="C304" t="str">
            <v>Chromaticity Coordinates of Ruby based on First-Principles Calculation (Bukti Korespondensi-sampul jurnal, informasi dewan redaksi editor, daftar isi, dan artikel)</v>
          </cell>
          <cell r="D304" t="str">
            <v>M Novita, RMD Ujianti, I Farikhah</v>
          </cell>
          <cell r="E304" t="str">
            <v>Optical Materials, 0</v>
          </cell>
          <cell r="G304">
            <v>0</v>
          </cell>
          <cell r="H304" t="str">
            <v>International Journal</v>
          </cell>
          <cell r="I304" t="str">
            <v>-</v>
          </cell>
        </row>
        <row r="305">
          <cell r="C305" t="str">
            <v>Bukti Korespondensi-Chromaticity Coordinates of Ruby based on First-Principles Calculation</v>
          </cell>
          <cell r="D305" t="str">
            <v>M Novita, I Farikhah, RMD Ujianti</v>
          </cell>
          <cell r="E305" t="str">
            <v>Optical Materials, 0</v>
          </cell>
          <cell r="G305">
            <v>0</v>
          </cell>
          <cell r="H305" t="str">
            <v>International Journal</v>
          </cell>
          <cell r="I305" t="str">
            <v>-</v>
          </cell>
        </row>
        <row r="306">
          <cell r="C306" t="str">
            <v>Kajian digitalisasi ikm dan umkm kota surakarta</v>
          </cell>
          <cell r="D306" t="str">
            <v>GA Pratio, M Margono, D Zulkarnaen, I Kertati</v>
          </cell>
          <cell r="E306" t="str">
            <v>Jurnal Bengawan Solo: Pusat Kajian Penelitian Dan Pengembangan Daerah Kota …</v>
          </cell>
          <cell r="F306">
            <v>2023</v>
          </cell>
          <cell r="G306">
            <v>8</v>
          </cell>
          <cell r="H306" t="str">
            <v>National Journal</v>
          </cell>
          <cell r="I306" t="str">
            <v>-</v>
          </cell>
        </row>
        <row r="307">
          <cell r="C307" t="str">
            <v>Peningkatan Kinerja MPPT Menggunakan Kontrol PWM Fuzzy dengan Tuning PID</v>
          </cell>
          <cell r="D307" t="str">
            <v>A Kusmantoro, M Margono</v>
          </cell>
          <cell r="E307" t="str">
            <v>Jurnal Rekayasa Elektrika</v>
          </cell>
          <cell r="F307">
            <v>2020</v>
          </cell>
          <cell r="G307">
            <v>5</v>
          </cell>
          <cell r="H307" t="str">
            <v>National Journal</v>
          </cell>
          <cell r="I307" t="str">
            <v>S1</v>
          </cell>
        </row>
        <row r="308">
          <cell r="C308" t="str">
            <v>Pendampingan Pembenahan Instalasi Sistem CCTV untuk Masjid Baitul Rohmah Pudak Payung Semarang</v>
          </cell>
          <cell r="D308" t="str">
            <v>M Amiruddin, I Harjanto, BH Kunaryo, M Margono</v>
          </cell>
          <cell r="E308" t="str">
            <v>PaKMas: Jurnal Pengabdian Kepada Masyarakat</v>
          </cell>
          <cell r="F308">
            <v>2023</v>
          </cell>
          <cell r="G308">
            <v>4</v>
          </cell>
          <cell r="H308" t="str">
            <v>Community Service Journal</v>
          </cell>
          <cell r="I308" t="str">
            <v>S3-S5</v>
          </cell>
        </row>
        <row r="309">
          <cell r="C309" t="str">
            <v>Laksana., AW (2024). The Injustice of Criminal Guidelines in the Act of Corruption Crime</v>
          </cell>
          <cell r="D309" t="str">
            <v>M Margono, BT Bawono, AH Prayitno, AY Rimbawan</v>
          </cell>
          <cell r="E309" t="str">
            <v>Jurnal Hukum Fakultas Hukum Unissula</v>
          </cell>
          <cell r="G309">
            <v>4</v>
          </cell>
          <cell r="H309" t="str">
            <v>National Journal</v>
          </cell>
          <cell r="I309" t="str">
            <v>-</v>
          </cell>
        </row>
        <row r="310">
          <cell r="C310" t="str">
            <v>Pelatihan Pengolahan Keripik Singkong Menggunakan Mesin Pengiris Dengan Dua Variasi Pisau Bagi UMKM Desa Morobongo</v>
          </cell>
          <cell r="D310" t="str">
            <v>A Mukhtar, A Burhanuddin, M Margono, M Malik, DYDA Pranata, ...</v>
          </cell>
          <cell r="E310" t="str">
            <v>Jurnal Pengabdian Kepada Masyarakat Nusantara</v>
          </cell>
          <cell r="F310">
            <v>2025</v>
          </cell>
          <cell r="G310">
            <v>3</v>
          </cell>
          <cell r="H310" t="str">
            <v>Community Service Journal</v>
          </cell>
          <cell r="I310" t="str">
            <v>S3-S5</v>
          </cell>
        </row>
        <row r="311">
          <cell r="C311" t="str">
            <v>ANALISA PERBANDINGAN EFISIENSI PEMAKAIAN ENERGI LISTRIK ANTARA PLN DAN GENSET DI POLLUX MALL PARAGON SEMARANG</v>
          </cell>
          <cell r="D311" t="str">
            <v>AD Mahendra</v>
          </cell>
          <cell r="E311" t="str">
            <v>Universitas PGRI Semarang</v>
          </cell>
          <cell r="F311">
            <v>2023</v>
          </cell>
          <cell r="G311">
            <v>3</v>
          </cell>
          <cell r="H311" t="str">
            <v>National Journal</v>
          </cell>
          <cell r="I311" t="str">
            <v>-</v>
          </cell>
        </row>
        <row r="312">
          <cell r="C312" t="str">
            <v>Evaluation of commercial Pacific white shrimp Litopenaeus vannamei (Boone, 1931) feeds: growth performance and body carcass analysis</v>
          </cell>
          <cell r="D312" t="str">
            <v>G Rheido, R Novriadi, MTA Suhardi, S Suharyadi, SP Sektiana, ...</v>
          </cell>
          <cell r="E312" t="str">
            <v>Omni-Akuatika</v>
          </cell>
          <cell r="F312">
            <v>2022</v>
          </cell>
          <cell r="G312">
            <v>3</v>
          </cell>
          <cell r="H312" t="str">
            <v>National Journal</v>
          </cell>
          <cell r="I312" t="str">
            <v>-</v>
          </cell>
        </row>
        <row r="313">
          <cell r="C313" t="str">
            <v>Sosialisasi dan Pendampingan Pembenahan Instalasi Kelistrikan Panti Asuhan Sultan Fatah Ngaliyan Semarang</v>
          </cell>
          <cell r="D313" t="str">
            <v>M Amiruddin, I Harjanto, BH Kunaryo, M Margono, N Aksin</v>
          </cell>
          <cell r="E313" t="str">
            <v>PaKMas: Jurnal Pengabdian Kepada Masyarakat</v>
          </cell>
          <cell r="F313">
            <v>2024</v>
          </cell>
          <cell r="G313">
            <v>2</v>
          </cell>
          <cell r="H313" t="str">
            <v>Community Service Journal</v>
          </cell>
          <cell r="I313" t="str">
            <v>S3-S5</v>
          </cell>
        </row>
        <row r="314">
          <cell r="C314" t="str">
            <v>Performance of thermoacoustic cooler driven by thermoacoustic engine with different flow Channel Radii</v>
          </cell>
          <cell r="D314" t="str">
            <v>I Farikhah, S Supriyadi, M Novita, AN Masruri, H Nuroso, D Marlina</v>
          </cell>
          <cell r="E314" t="str">
            <v>2022 IEEE 4th Eurasia Conference on IOT, Communication and Engineering …</v>
          </cell>
          <cell r="F314">
            <v>2022</v>
          </cell>
          <cell r="G314">
            <v>2</v>
          </cell>
          <cell r="H314" t="str">
            <v>International Proceeding</v>
          </cell>
          <cell r="I314" t="str">
            <v>-</v>
          </cell>
        </row>
        <row r="315">
          <cell r="C315" t="str">
            <v>Analisa Efisiensi Baterai 110 Volt Di PT. PLN (PERSERO) Gardu Induk 150 Kv Pati</v>
          </cell>
          <cell r="D315" t="str">
            <v>TS Dilla, M Margono, K Hasto</v>
          </cell>
          <cell r="E315" t="str">
            <v>Prosiding Seminar Nasional NCIET</v>
          </cell>
          <cell r="F315">
            <v>2020</v>
          </cell>
          <cell r="G315">
            <v>2</v>
          </cell>
          <cell r="H315" t="str">
            <v>National Proceeding</v>
          </cell>
          <cell r="I315" t="str">
            <v>-</v>
          </cell>
        </row>
        <row r="316">
          <cell r="C316" t="str">
            <v>Pengaruh Motivasi, Efikasi Diri (Self Efficacy), Beban Kerja dan Keterampilan (Skill) Menulis terhadap Produktivitas Buku Ajar Dosen yang Diterbitkan (Studi di Universitas …</v>
          </cell>
          <cell r="D316" t="str">
            <v>M Margono, AW Atma</v>
          </cell>
          <cell r="E316" t="str">
            <v>Jurnal Aplikasi Manajemen</v>
          </cell>
          <cell r="F316">
            <v>2008</v>
          </cell>
          <cell r="G316">
            <v>2</v>
          </cell>
          <cell r="H316" t="str">
            <v>National Journal</v>
          </cell>
          <cell r="I316" t="str">
            <v>-</v>
          </cell>
        </row>
        <row r="317">
          <cell r="C317" t="str">
            <v>Analysis of Probiotic Application, Water Quality, Carrying Capacity and Production of Penaeus vannamei Vaname Shrimp Culture in Ponds</v>
          </cell>
          <cell r="D317" t="str">
            <v>M Farkan, R Novriadi, SP Sektiana, F Lathifah, M Margono, I Ilhamdi, ...</v>
          </cell>
          <cell r="E317" t="str">
            <v>Aquaculture Studies</v>
          </cell>
          <cell r="F317">
            <v>2025</v>
          </cell>
          <cell r="G317">
            <v>1</v>
          </cell>
          <cell r="H317" t="str">
            <v>National Journal</v>
          </cell>
          <cell r="I317" t="str">
            <v>-</v>
          </cell>
        </row>
        <row r="318">
          <cell r="C318" t="str">
            <v>Effect of prime mover regenerator radius on the performance and characteristic of acoustic field of thermoacoustic refrigerator driven by prime mover</v>
          </cell>
          <cell r="D318" t="str">
            <v>I Farikhah, RN Isnandi, I Setiawan, R Hermana, ED Rokhmawati, ...</v>
          </cell>
          <cell r="E318" t="str">
            <v>Thermal Science 28 (2 Part C), 1837-1848</v>
          </cell>
          <cell r="F318">
            <v>2024</v>
          </cell>
          <cell r="G318">
            <v>1</v>
          </cell>
          <cell r="H318" t="str">
            <v>International Journal</v>
          </cell>
          <cell r="I318" t="str">
            <v>-</v>
          </cell>
        </row>
        <row r="319">
          <cell r="C319" t="str">
            <v>Power Losses Caused by Load Imbalance in the Central Building of PGRI Semarang University</v>
          </cell>
          <cell r="D319" t="str">
            <v>MZ Arifin, M Amiruddin, M Margono</v>
          </cell>
          <cell r="E319" t="str">
            <v>Advance Sustainable Science, Engineering and Technology</v>
          </cell>
          <cell r="F319">
            <v>2023</v>
          </cell>
          <cell r="G319">
            <v>1</v>
          </cell>
          <cell r="H319" t="str">
            <v>National Journal</v>
          </cell>
          <cell r="I319" t="str">
            <v>S2</v>
          </cell>
        </row>
        <row r="320">
          <cell r="C320" t="str">
            <v>Study on the Influence of Engine Stack Length on the Efficiency of A Heat-driven Thermoacoustic Refrigerator</v>
          </cell>
          <cell r="D320" t="str">
            <v>I Farikhah, A Mukhtar, A Muslim, MB Nasr, A Burhanuddin, AN Masruri</v>
          </cell>
          <cell r="E320" t="str">
            <v>Proc. International Conference on Mechanical, Automotive and Mechatronics …</v>
          </cell>
          <cell r="F320">
            <v>2023</v>
          </cell>
          <cell r="G320">
            <v>1</v>
          </cell>
          <cell r="H320" t="str">
            <v>International Proceeding</v>
          </cell>
          <cell r="I320" t="str">
            <v>-</v>
          </cell>
        </row>
        <row r="321">
          <cell r="C321" t="str">
            <v>PLTS MODULE DESIGN USING BATTERY MANAGEMENT SYSTEM ON LI-ION BATTERY</v>
          </cell>
          <cell r="D321" t="str">
            <v>MMS Wafa, A Kusmantoro, M Margono</v>
          </cell>
          <cell r="E321" t="str">
            <v>JETI (Jurnal Elektro dan Teknologi Informasi)</v>
          </cell>
          <cell r="F321">
            <v>2023</v>
          </cell>
          <cell r="G321">
            <v>1</v>
          </cell>
          <cell r="H321" t="str">
            <v>National Journal</v>
          </cell>
          <cell r="I321" t="str">
            <v>S4</v>
          </cell>
        </row>
        <row r="322">
          <cell r="C322" t="str">
            <v>REKONSTRUKSI REGULASI PERADILAN PIDANA TERHADAP TINDAK PIDANA KORUPSI UNTUK MEWUJUDKAN PENEGAKAN HUKUM YANG BERKEADILAN</v>
          </cell>
          <cell r="D322" t="str">
            <v>M Margono</v>
          </cell>
          <cell r="E322" t="str">
            <v>Universitas Islam Sultan Agung Semarang</v>
          </cell>
          <cell r="F322">
            <v>2022</v>
          </cell>
          <cell r="G322">
            <v>1</v>
          </cell>
          <cell r="H322" t="str">
            <v>National Journal</v>
          </cell>
          <cell r="I322" t="str">
            <v>-</v>
          </cell>
        </row>
        <row r="323">
          <cell r="C323" t="str">
            <v>Current and Voltage Imbalances at BPTIK Universitas PGRI Semarang</v>
          </cell>
          <cell r="D323" t="str">
            <v>M Margono, M Amiruddin, I Farikhah</v>
          </cell>
          <cell r="E323" t="str">
            <v>Advance Sustainable Science, Engineering and Technology</v>
          </cell>
          <cell r="F323">
            <v>2021</v>
          </cell>
          <cell r="G323">
            <v>1</v>
          </cell>
          <cell r="H323" t="str">
            <v>National Journal</v>
          </cell>
          <cell r="I323" t="str">
            <v>S2</v>
          </cell>
        </row>
        <row r="324">
          <cell r="C324" t="str">
            <v>ANALISA SISTEM PENTANAHAN KAKI MENARA SALURAN UDARA TEGANGAN TINGGI (SUTT) 150 KV PATI-JEKULO</v>
          </cell>
          <cell r="D324" t="str">
            <v>H Pontiawan, K Hasto, M Margono</v>
          </cell>
          <cell r="E324" t="str">
            <v>Prosiding Seminar Nasional NCIET</v>
          </cell>
          <cell r="F324">
            <v>2020</v>
          </cell>
          <cell r="G324">
            <v>1</v>
          </cell>
          <cell r="H324" t="str">
            <v>National Proceeding</v>
          </cell>
          <cell r="I324" t="str">
            <v>-</v>
          </cell>
        </row>
        <row r="325">
          <cell r="C325" t="str">
            <v>SIMULASI OUTPUT GENERATOR DC PADA PERUBAHAN KECEPATAN ANGIN DI KOTA SEMARANG PADA APLIKASI PEMBANGKIT LISTRIK TENAGA ANGIN</v>
          </cell>
          <cell r="D325" t="str">
            <v>M Amiruddin, SH Prabowo, M Margono</v>
          </cell>
          <cell r="E325" t="str">
            <v>Seminar Nasional Science and Engineering National Seminar</v>
          </cell>
          <cell r="F325">
            <v>2019</v>
          </cell>
          <cell r="G325">
            <v>1</v>
          </cell>
          <cell r="H325" t="str">
            <v>National Proceeding</v>
          </cell>
          <cell r="I325" t="str">
            <v>-</v>
          </cell>
        </row>
        <row r="326">
          <cell r="C326" t="str">
            <v>Perhitungan nilai intensitas konsumsi energi (ike) ruangan bptik universitas pgri semarang</v>
          </cell>
          <cell r="D326" t="str">
            <v>E Wanimbo, M Amiruddin</v>
          </cell>
          <cell r="E326" t="str">
            <v>Seminar Nasional Science and Engineering National Seminar</v>
          </cell>
          <cell r="F326">
            <v>2019</v>
          </cell>
          <cell r="G326">
            <v>11</v>
          </cell>
          <cell r="H326" t="str">
            <v>National Proceeding</v>
          </cell>
          <cell r="I326" t="str">
            <v>-</v>
          </cell>
        </row>
        <row r="327">
          <cell r="C327" t="str">
            <v>Numerical Study on the Effect of Mean Pressure and Loop's Radius to the Onset Temperature and Efficiency of Traveling Wave Termoacustic Engine</v>
          </cell>
          <cell r="D327" t="str">
            <v>ED Rokhmawati, I Farikhah, U Kaltsum, H Nuroso, A Burhanudin, ...</v>
          </cell>
          <cell r="E327" t="str">
            <v>Automotive Experiences</v>
          </cell>
          <cell r="F327">
            <v>2020</v>
          </cell>
          <cell r="G327">
            <v>9</v>
          </cell>
          <cell r="H327" t="str">
            <v>National Journal</v>
          </cell>
          <cell r="I327" t="str">
            <v>S3</v>
          </cell>
        </row>
        <row r="328">
          <cell r="C328" t="str">
            <v>Sistem Kontrol Suhu Dan Laju Pemanasan Alat Pirolisis</v>
          </cell>
          <cell r="D328" t="str">
            <v>M Amiruddin</v>
          </cell>
          <cell r="E328" t="str">
            <v>Universitas Gadjah Mada</v>
          </cell>
          <cell r="F328">
            <v>2012</v>
          </cell>
          <cell r="G328">
            <v>8</v>
          </cell>
          <cell r="H328" t="str">
            <v>National Journal</v>
          </cell>
          <cell r="I328" t="str">
            <v>-</v>
          </cell>
        </row>
        <row r="329">
          <cell r="C329" t="str">
            <v>Tingkat Konsumsi Pakan Dan Rasio Konversi Pakan Udang Vaname PL-25 (Litopenaeus Vannamei) Dalam Wadah Terkontrol Pada Berbagai Sumber Bahan Baku Karbohidrat Pakan</v>
          </cell>
          <cell r="D329" t="str">
            <v>M Amiruddin</v>
          </cell>
          <cell r="E329" t="str">
            <v>Skripsi Program Studi Budidaya Perairan Departemen Perikanan. Fakultas Ilmu …</v>
          </cell>
          <cell r="F329">
            <v>2017</v>
          </cell>
          <cell r="G329">
            <v>5</v>
          </cell>
          <cell r="H329" t="str">
            <v>Book/Thesis/Report</v>
          </cell>
          <cell r="I329" t="str">
            <v>-</v>
          </cell>
        </row>
        <row r="330">
          <cell r="C330" t="str">
            <v>A comprehensive analysis of mask detection using convolutional neural networks (CNN) and single shot multibox detector (SSD) approach</v>
          </cell>
          <cell r="D330" t="str">
            <v>BK Mukti, M Novita, M Amirudin, SK Singh, I Harjanto, P Bhardwaj, ...</v>
          </cell>
          <cell r="E330" t="str">
            <v>2023 International Conference on Sustainable Emerging Innovations in …</v>
          </cell>
          <cell r="F330">
            <v>2023</v>
          </cell>
          <cell r="G330">
            <v>4</v>
          </cell>
          <cell r="H330" t="str">
            <v>International Proceeding</v>
          </cell>
          <cell r="I330" t="str">
            <v>-</v>
          </cell>
        </row>
        <row r="331">
          <cell r="C331" t="str">
            <v>Pendampingan Pembenahan Instalasi Sistem CCTV untuk Masjid Baitul Rohmah Pudak Payung Semarang</v>
          </cell>
          <cell r="D331" t="str">
            <v>M Muhammad Amiruddin,Imadudin Harjanto,Bambang Hadi Kunaryo</v>
          </cell>
          <cell r="E331" t="str">
            <v>PakMas Jurnal Pengabdian Kepada Masyarakat</v>
          </cell>
          <cell r="F331">
            <v>2023</v>
          </cell>
          <cell r="G331">
            <v>4</v>
          </cell>
          <cell r="H331" t="str">
            <v>Community Service Journal</v>
          </cell>
          <cell r="I331" t="str">
            <v>S3-S5</v>
          </cell>
        </row>
        <row r="332">
          <cell r="C332" t="str">
            <v>ANALISA PERBANDINGAN EFISIENSI PEMAKAIAN ENERGI LISTRIK ANTARA PLN DAN GENSET DI POLLUX MALL PARAGON SEMARANG</v>
          </cell>
          <cell r="D332" t="str">
            <v>AD Mahendra</v>
          </cell>
          <cell r="E332" t="str">
            <v>Universitas PGRI Semarang</v>
          </cell>
          <cell r="F332">
            <v>2023</v>
          </cell>
          <cell r="G332">
            <v>3</v>
          </cell>
          <cell r="H332" t="str">
            <v>National Journal</v>
          </cell>
          <cell r="I332" t="str">
            <v>-</v>
          </cell>
        </row>
        <row r="333">
          <cell r="C333" t="str">
            <v>Penerapan Media Terarium untuk Meningkatkan Kreativitas, Literasi Keuangan, dan Jiwa Kewirausahaan Siswa dalam Program Projek Penguatan Profil Pelajar Pancasila</v>
          </cell>
          <cell r="D333" t="str">
            <v>IB Minarti, AGC Wicaksono, M Amiruddin, A Nurwahyunani</v>
          </cell>
          <cell r="E333" t="str">
            <v>Pelita: Jurnal Pengabdian kepada Masyarakat</v>
          </cell>
          <cell r="F333">
            <v>2025</v>
          </cell>
          <cell r="G333">
            <v>2</v>
          </cell>
          <cell r="H333" t="str">
            <v>Community Service Journal</v>
          </cell>
          <cell r="I333" t="str">
            <v>S3-S5</v>
          </cell>
        </row>
        <row r="334">
          <cell r="C334" t="str">
            <v>Sosialisasi dan Pendampingan Pembenahan Instalasi Kelistrikan Panti Asuhan Sultan Fatah Ngaliyan Semarang</v>
          </cell>
          <cell r="D334" t="str">
            <v>M Amiruddin, I Harjanto, BH Kunaryo, M Margono, N Aksin</v>
          </cell>
          <cell r="E334" t="str">
            <v>PaKMas: Jurnal Pengabdian Kepada Masyarakat</v>
          </cell>
          <cell r="F334">
            <v>2024</v>
          </cell>
          <cell r="G334">
            <v>2</v>
          </cell>
          <cell r="H334" t="str">
            <v>Community Service Journal</v>
          </cell>
          <cell r="I334" t="str">
            <v>S3-S5</v>
          </cell>
        </row>
        <row r="335">
          <cell r="C335" t="str">
            <v>Review paper on bluetooth based home automation using android phone</v>
          </cell>
          <cell r="D335" t="str">
            <v>P Bhardwaj, M Roy, S Srivastava, SK Singh, V Gupta, M Novita, ...</v>
          </cell>
          <cell r="E335" t="str">
            <v>2023 International Conference on Sustainable Emerging Innovations in …</v>
          </cell>
          <cell r="F335">
            <v>2023</v>
          </cell>
          <cell r="G335">
            <v>2</v>
          </cell>
          <cell r="H335" t="str">
            <v>International Proceeding</v>
          </cell>
          <cell r="I335" t="str">
            <v>-</v>
          </cell>
        </row>
        <row r="336">
          <cell r="C336" t="str">
            <v>Perancangan Sistem Pengaman Ruangan Laboratorium Elektro Upgris Berbasis Rfid Dan Google Sheet</v>
          </cell>
          <cell r="D336" t="str">
            <v>EP Aji, M Amiruddin, I Harjanto</v>
          </cell>
          <cell r="E336" t="str">
            <v>Science and Engineering National Seminar (SENS)</v>
          </cell>
          <cell r="F336">
            <v>2021</v>
          </cell>
          <cell r="G336">
            <v>2</v>
          </cell>
          <cell r="H336" t="str">
            <v>National Proceeding</v>
          </cell>
          <cell r="I336" t="str">
            <v>-</v>
          </cell>
        </row>
        <row r="337">
          <cell r="C337" t="str">
            <v>Sistem Kendali Frekuensi Generator Metode On-Off</v>
          </cell>
          <cell r="D337" t="str">
            <v>MM Alfaq, MFI Sadana, M Amiruddin, C Carsoni</v>
          </cell>
          <cell r="E337" t="str">
            <v>Prosiding Seminar Nasional NCIET</v>
          </cell>
          <cell r="F337">
            <v>2020</v>
          </cell>
          <cell r="G337">
            <v>2</v>
          </cell>
          <cell r="H337" t="str">
            <v>National Proceeding</v>
          </cell>
          <cell r="I337" t="str">
            <v>-</v>
          </cell>
        </row>
        <row r="338">
          <cell r="C338" t="str">
            <v>The Potential of Mechanic Vibration for Generating Electric Energy</v>
          </cell>
          <cell r="D338" t="str">
            <v>MAD Hakim, M Amiruddin, K Hasto, IH Margono, I Carsoni, ...</v>
          </cell>
          <cell r="E338" t="str">
            <v>Advance Sustainable Science, Engineering and Technology (ASSET)</v>
          </cell>
          <cell r="F338">
            <v>2020</v>
          </cell>
          <cell r="G338">
            <v>2</v>
          </cell>
          <cell r="H338" t="str">
            <v>National Journal</v>
          </cell>
          <cell r="I338" t="str">
            <v>S2</v>
          </cell>
        </row>
        <row r="339">
          <cell r="C339" t="str">
            <v>TOPOLOGI JARINGAN DAN REMOTE ACCESS VPN UNTUK PEMANTAUAN KERJA MOTOR POMPA</v>
          </cell>
          <cell r="D339" t="str">
            <v>D Susanto, M Amiruddin, I Harjanto</v>
          </cell>
          <cell r="E339" t="str">
            <v>Science and Engineering National Seminar (SENS)</v>
          </cell>
          <cell r="F339">
            <v>2020</v>
          </cell>
          <cell r="G339">
            <v>2</v>
          </cell>
          <cell r="H339" t="str">
            <v>National Proceeding</v>
          </cell>
          <cell r="I339" t="str">
            <v>-</v>
          </cell>
        </row>
        <row r="340">
          <cell r="C340" t="str">
            <v>Rancang Bangun Awal Mesin Las GTAW Semi Otomatis untuk Pengelasan Plat Baja</v>
          </cell>
          <cell r="D340" t="str">
            <v>AFH Mukhammad, B Setyoko, M Amiruddin, KK Abdillah, RS Utama</v>
          </cell>
          <cell r="E340" t="str">
            <v>TRAKSI</v>
          </cell>
          <cell r="F340">
            <v>2018</v>
          </cell>
          <cell r="G340">
            <v>2</v>
          </cell>
          <cell r="H340" t="str">
            <v>National Journal</v>
          </cell>
          <cell r="I340" t="str">
            <v>-</v>
          </cell>
        </row>
        <row r="341">
          <cell r="C341" t="str">
            <v>Perancangan Dan Manufaktur Printer 3 Dimensi Tipe Fused Deposition Modeling (FDM)</v>
          </cell>
          <cell r="D341" t="str">
            <v>Y Setyoadi, C Carsoni, M Amiruddin, I Harjanto</v>
          </cell>
          <cell r="E341" t="str">
            <v>SEMINAR HASIL-HASIL PENELITIAN 2015</v>
          </cell>
          <cell r="F341">
            <v>2016</v>
          </cell>
          <cell r="G341">
            <v>2</v>
          </cell>
          <cell r="H341" t="str">
            <v>National Proceeding</v>
          </cell>
          <cell r="I341" t="str">
            <v>-</v>
          </cell>
        </row>
        <row r="342">
          <cell r="C342" t="str">
            <v>Perancangan Sistem Charger Otomatis pada Pembangkit Listrik Tenaga Surya</v>
          </cell>
          <cell r="D342" t="str">
            <v>M Amiruddin</v>
          </cell>
          <cell r="E342" t="str">
            <v>Techné: Jurnal Ilmiah Elektroteknika</v>
          </cell>
          <cell r="F342">
            <v>2015</v>
          </cell>
          <cell r="G342">
            <v>2</v>
          </cell>
          <cell r="H342" t="str">
            <v>National Journal</v>
          </cell>
          <cell r="I342" t="str">
            <v>S2</v>
          </cell>
        </row>
        <row r="343">
          <cell r="C343" t="str">
            <v>OPTIMASI MODEL DEEP LEARNING UNTUK RASPBERRY MENGGUNAKAN PRUNING DAN KUANTISASI</v>
          </cell>
          <cell r="D343" t="str">
            <v>I Harjanto, M Amiruddin, BH Kunaryo</v>
          </cell>
          <cell r="E343" t="str">
            <v>JURNAL TEKNOLOGI INFORMASI DAN KOMUNIKASI</v>
          </cell>
          <cell r="F343">
            <v>2024</v>
          </cell>
          <cell r="G343">
            <v>1</v>
          </cell>
          <cell r="H343" t="str">
            <v>National Journal</v>
          </cell>
          <cell r="I343" t="str">
            <v>-</v>
          </cell>
        </row>
        <row r="344">
          <cell r="C344" t="str">
            <v>Power Losses Caused by Load Imbalance in the Central Building of PGRI Semarang University</v>
          </cell>
          <cell r="D344" t="str">
            <v>M Muhammad Zaenal Arifin, Muhammad Amiruddin</v>
          </cell>
          <cell r="E344" t="str">
            <v>Advance Sustainable Science, Engineering and Technology (ASSET)</v>
          </cell>
          <cell r="F344">
            <v>2023</v>
          </cell>
          <cell r="G344">
            <v>1</v>
          </cell>
          <cell r="H344" t="str">
            <v>National Journal</v>
          </cell>
          <cell r="I344" t="str">
            <v>S2</v>
          </cell>
        </row>
        <row r="345">
          <cell r="C345" t="str">
            <v>Current and Voltage Imbalances at BPTIK Universitas PGRI Semarang</v>
          </cell>
          <cell r="D345" t="str">
            <v>IF Margono, Muhammad Amiruddin</v>
          </cell>
          <cell r="E345" t="str">
            <v>Advance Sustainable Science, Engineering and Technology(ASSET)</v>
          </cell>
          <cell r="F345">
            <v>2021</v>
          </cell>
          <cell r="G345">
            <v>1</v>
          </cell>
          <cell r="H345" t="str">
            <v>National Journal</v>
          </cell>
          <cell r="I345" t="str">
            <v>S2</v>
          </cell>
        </row>
        <row r="346">
          <cell r="C346" t="str">
            <v>PEMANFAATAN TERMOKOPEL UNTUK SISTEM PEMANTAUAN SISTEM MOTOR POMPA</v>
          </cell>
          <cell r="D346" t="str">
            <v>A Khasan, M Amiruddin, I Harjanto</v>
          </cell>
          <cell r="E346" t="str">
            <v>Proceeding Science and Engineering National Seminar</v>
          </cell>
          <cell r="F346">
            <v>2020</v>
          </cell>
          <cell r="G346">
            <v>1</v>
          </cell>
          <cell r="H346" t="str">
            <v>National Proceeding</v>
          </cell>
          <cell r="I346" t="str">
            <v>-</v>
          </cell>
        </row>
        <row r="347">
          <cell r="C347" t="str">
            <v>SIMULASI OUTPUT GENERATOR DC PADA PERUBAHAN KECEPATAN ANGIN DI KOTA SEMARANG PADA APLIKASI PEMBANGKIT LISTRIK TENAGA ANGIN</v>
          </cell>
          <cell r="D347" t="str">
            <v>M Amiruddin, SH Prabowo, M Margono</v>
          </cell>
          <cell r="E347" t="str">
            <v>Seminar Nasional Science and Engineering National Seminar</v>
          </cell>
          <cell r="F347">
            <v>2019</v>
          </cell>
          <cell r="G347">
            <v>1</v>
          </cell>
          <cell r="H347" t="str">
            <v>National Proceeding</v>
          </cell>
          <cell r="I347" t="str">
            <v>-</v>
          </cell>
        </row>
        <row r="348">
          <cell r="C348" t="str">
            <v>DC to DC Converter Untuk Sistem Charger Accumulator Otomatis Energi Solar cell</v>
          </cell>
          <cell r="D348" t="str">
            <v>K Hasto, MA Margono</v>
          </cell>
          <cell r="E348" t="str">
            <v>Jurnal Ilmiah Teknosains</v>
          </cell>
          <cell r="F348">
            <v>2018</v>
          </cell>
          <cell r="G348">
            <v>1</v>
          </cell>
          <cell r="H348" t="str">
            <v>National Journal</v>
          </cell>
          <cell r="I348" t="str">
            <v>S3</v>
          </cell>
        </row>
        <row r="349">
          <cell r="C349" t="str">
            <v>Saklar energi pemulih magnetik untuk soft starting motor induksi tipe sangkar tupai</v>
          </cell>
          <cell r="D349" t="str">
            <v>K Hasto, M Margono, M Amiruddin</v>
          </cell>
          <cell r="E349" t="str">
            <v>SEMINAR HASIL-HASIL PENELITIAN 2014</v>
          </cell>
          <cell r="F349">
            <v>2015</v>
          </cell>
          <cell r="G349">
            <v>1</v>
          </cell>
          <cell r="H349" t="str">
            <v>National Proceeding</v>
          </cell>
          <cell r="I349" t="str">
            <v>-</v>
          </cell>
        </row>
        <row r="350">
          <cell r="C350" t="str">
            <v>Pendampingan Pemeriksaan dan Pembenahan Sistem Penerangan Ruangan Kelas di Lingkungan LPQ An-Nur Tanggul Mas Barat Semarang</v>
          </cell>
          <cell r="D350" t="str">
            <v>KS Widi, M Amiruddin, N Aksin, M Margono, S Supriyadi</v>
          </cell>
          <cell r="E350" t="str">
            <v>Jurnal Pengabdian kepada Masyarakat Nusantara</v>
          </cell>
          <cell r="F350">
            <v>2026</v>
          </cell>
          <cell r="G350">
            <v>0</v>
          </cell>
          <cell r="H350" t="str">
            <v>Community Service Journal</v>
          </cell>
          <cell r="I350" t="str">
            <v>S3-S5</v>
          </cell>
        </row>
        <row r="351">
          <cell r="C351" t="str">
            <v>SISTEM MONITORING CUACA BERBASIS IOT MENGGUNAKAN ESP32 DAN WHATSAPP UNTUK EFEKTIVITAS PENJEMURAN KERUPUK</v>
          </cell>
          <cell r="D351" t="str">
            <v>FM Inzagi, M Amirudin, G Winasis</v>
          </cell>
          <cell r="E351" t="str">
            <v>JETI (Jurnal Elektro dan Teknologi Informasi)</v>
          </cell>
          <cell r="F351">
            <v>2025</v>
          </cell>
          <cell r="G351">
            <v>0</v>
          </cell>
          <cell r="H351" t="str">
            <v>National Journal</v>
          </cell>
          <cell r="I351" t="str">
            <v>S4</v>
          </cell>
        </row>
        <row r="352">
          <cell r="C352" t="str">
            <v>PERENCANAAN PLTS ON-GRID 50 KWP DI MAVICA MAJU BERSAMA</v>
          </cell>
          <cell r="D352" t="str">
            <v>KE Saputra, M Amiruddin, N Aksin</v>
          </cell>
          <cell r="E352" t="str">
            <v>Science and Engineering National Seminar (SENS)</v>
          </cell>
          <cell r="F352">
            <v>2025</v>
          </cell>
          <cell r="G352">
            <v>0</v>
          </cell>
          <cell r="H352" t="str">
            <v>National Proceeding</v>
          </cell>
          <cell r="I352" t="str">
            <v>-</v>
          </cell>
        </row>
        <row r="353">
          <cell r="C353" t="str">
            <v>Implementasi dan Analisis Pemasangan PLTS ON-GRID 50 Kw di Mavica Maju Bersama</v>
          </cell>
          <cell r="D353" t="str">
            <v>EB Satria, M Amirudin, I Harjanto</v>
          </cell>
          <cell r="E353" t="str">
            <v>Science and Engineering National Seminar (SENS)</v>
          </cell>
          <cell r="F353">
            <v>2025</v>
          </cell>
          <cell r="G353">
            <v>0</v>
          </cell>
          <cell r="H353" t="str">
            <v>National Proceeding</v>
          </cell>
          <cell r="I353" t="str">
            <v>-</v>
          </cell>
        </row>
        <row r="354">
          <cell r="C354" t="str">
            <v>Analisis Respon Pembacaan Sensor Beban (Load Cell) dengan Menggunakan Autonics TK4S</v>
          </cell>
          <cell r="D354" t="str">
            <v>MR Mubarok, M Amiruddin</v>
          </cell>
          <cell r="E354" t="str">
            <v>Jurnal Ilmiah Wahana Pendidikan</v>
          </cell>
          <cell r="F354">
            <v>2024</v>
          </cell>
          <cell r="G354">
            <v>0</v>
          </cell>
          <cell r="H354" t="str">
            <v>National Journal</v>
          </cell>
          <cell r="I354" t="str">
            <v>-</v>
          </cell>
        </row>
        <row r="355">
          <cell r="C355" t="str">
            <v>Penerapan Algoritma Fuzzy Mamdani Terhadap Penentuan Modulus Young Kain Spandex</v>
          </cell>
          <cell r="D355" t="str">
            <v>K Anwar, M Amiruddin</v>
          </cell>
          <cell r="E355" t="str">
            <v>Innovative: Journal Of Social Science Research</v>
          </cell>
          <cell r="F355">
            <v>2024</v>
          </cell>
          <cell r="G355">
            <v>0</v>
          </cell>
          <cell r="H355" t="str">
            <v>National Journal</v>
          </cell>
          <cell r="I355" t="str">
            <v>-</v>
          </cell>
        </row>
        <row r="356">
          <cell r="C356" t="str">
            <v>DESAIN SISTEM KENDALI SUHU RUANG PEMANAS DENGAN METODE ULTIMATE CYCLE</v>
          </cell>
          <cell r="D356" t="str">
            <v>M Amiruddin, I Harjanto, BH Kunaryo</v>
          </cell>
          <cell r="E356" t="str">
            <v>JURNAL TEKNOLOGI INFORMASI DAN KOMUNIKASI</v>
          </cell>
          <cell r="F356">
            <v>2024</v>
          </cell>
          <cell r="G356">
            <v>0</v>
          </cell>
          <cell r="H356" t="str">
            <v>National Journal</v>
          </cell>
          <cell r="I356" t="str">
            <v>-</v>
          </cell>
        </row>
        <row r="357">
          <cell r="C357" t="str">
            <v>IMPLEMENTASI MANAJEMEN SUMBER DAYA TENAGA KEPENDIDIKAN DALAM MENINGKATKAN KUALITAS LAYANAN</v>
          </cell>
          <cell r="D357" t="str">
            <v>M Amiruddin</v>
          </cell>
          <cell r="E357" t="str">
            <v>UNISAN JURNAL</v>
          </cell>
          <cell r="F357">
            <v>2024</v>
          </cell>
          <cell r="G357">
            <v>0</v>
          </cell>
          <cell r="H357" t="str">
            <v>National Journal</v>
          </cell>
          <cell r="I357" t="str">
            <v>-</v>
          </cell>
        </row>
        <row r="358">
          <cell r="C358" t="str">
            <v>PERANCANGAN SISTEM INSTALASI LISTRIK PRESIDENT ROOM RUMAH SAKIT MITRA BANGSA PATI</v>
          </cell>
          <cell r="D358" t="str">
            <v>A Kusmantoro, M Amirudin</v>
          </cell>
          <cell r="E358" t="str">
            <v>JETI (Jurnal Elektro dan Teknologi Informasi)</v>
          </cell>
          <cell r="F358">
            <v>2024</v>
          </cell>
          <cell r="G358">
            <v>0</v>
          </cell>
          <cell r="H358" t="str">
            <v>National Journal</v>
          </cell>
          <cell r="I358" t="str">
            <v>S4</v>
          </cell>
        </row>
        <row r="359">
          <cell r="C359" t="str">
            <v>IMPLEMENTASI SISTEM PENGUKURAN BERAT BENDA BERBASIS LOADCELL DENGAN TATAP MUKA CN6000, TK4S, DAN HMI</v>
          </cell>
          <cell r="D359" t="str">
            <v>MI Jahri, M Amiruddin, G Winasis</v>
          </cell>
          <cell r="E359" t="str">
            <v>Proceeding Science and Engineering National Seminar</v>
          </cell>
          <cell r="F359">
            <v>2024</v>
          </cell>
          <cell r="G359">
            <v>0</v>
          </cell>
          <cell r="H359" t="str">
            <v>National Proceeding</v>
          </cell>
          <cell r="I359" t="str">
            <v>-</v>
          </cell>
        </row>
        <row r="360">
          <cell r="C360" t="str">
            <v>PERANCANGAN APLIKASI KASIR BERBASIS ANDROID PADA TOKO SUKSES MAJU JAYA</v>
          </cell>
          <cell r="D360" t="str">
            <v>M Amirudin</v>
          </cell>
          <cell r="E360" t="str">
            <v>UNAMA</v>
          </cell>
          <cell r="F360">
            <v>2023</v>
          </cell>
          <cell r="G360">
            <v>0</v>
          </cell>
          <cell r="H360" t="str">
            <v>National Journal</v>
          </cell>
          <cell r="I360" t="str">
            <v>-</v>
          </cell>
        </row>
        <row r="361">
          <cell r="C361" t="str">
            <v>RANCANGAN BANGUN KEBUTUHAN ACESSPOINT DI GEDUNG UTAMA UNIVERSITAS PGRI SEMARANG</v>
          </cell>
          <cell r="D361" t="str">
            <v>B Hadi Kunaryo, I Harjanto, M Amiruddin</v>
          </cell>
          <cell r="E361" t="str">
            <v>RANCANGAN BANGUN KEBUTUHAN ACESSPOINT DI GEDUNG UTAMA UNIVERSITAS PGRI …</v>
          </cell>
          <cell r="F361">
            <v>2023</v>
          </cell>
          <cell r="G361">
            <v>0</v>
          </cell>
          <cell r="H361" t="str">
            <v>National Journal</v>
          </cell>
          <cell r="I361" t="str">
            <v>-</v>
          </cell>
        </row>
        <row r="362">
          <cell r="C362" t="str">
            <v>Sistem Pemeliharaan Pendingin Pada Generator di PT. PJB UbJ O&amp;M PLTU Rembang</v>
          </cell>
          <cell r="D362" t="str">
            <v>NO Ardiansyah, M Amiruddin, BH Kunaryo</v>
          </cell>
          <cell r="E362" t="str">
            <v>Science and Engineering National Seminar (SENS)</v>
          </cell>
          <cell r="F362">
            <v>2023</v>
          </cell>
          <cell r="G362">
            <v>0</v>
          </cell>
          <cell r="H362" t="str">
            <v>National Proceeding</v>
          </cell>
          <cell r="I362" t="str">
            <v>-</v>
          </cell>
        </row>
        <row r="363">
          <cell r="C363" t="str">
            <v>ANALISIS PERBANDINGAN DESAIN PEMBANGKIT TEGANGAN SYSTEM DC TO DC CONVERTER DAN KONVENSIONAL: Muhammad Amir Maruf, Muh Amirudin, Margono</v>
          </cell>
          <cell r="D363" t="str">
            <v>MA Maruf, M Amirudin, M Margono</v>
          </cell>
          <cell r="E363" t="str">
            <v>JETI (Jurnal Elektro dan Teknologi Informasi)</v>
          </cell>
          <cell r="F363">
            <v>2023</v>
          </cell>
          <cell r="G363">
            <v>0</v>
          </cell>
          <cell r="H363" t="str">
            <v>National Journal</v>
          </cell>
          <cell r="I363" t="str">
            <v>S4</v>
          </cell>
        </row>
        <row r="364">
          <cell r="C364" t="str">
            <v>PENGARUH IMPLEMENTASI ASESMEN PENDIDIKAN KARAKTER TERHADAP HASIL BELAJAR IPA PADA KONSEP STRUKTUR DAN FUNGSI SISTEM PERNAFASAN PADA MANUSIA SISWA KELAS VIII DI SMP NEGERI 1 …</v>
          </cell>
          <cell r="D364" t="str">
            <v>M Amiruddin</v>
          </cell>
          <cell r="E364" t="str">
            <v>UNIVERSITAS SINTUWU MAROSO</v>
          </cell>
          <cell r="F364">
            <v>2021</v>
          </cell>
          <cell r="G364">
            <v>0</v>
          </cell>
          <cell r="H364" t="str">
            <v>National Journal</v>
          </cell>
          <cell r="I364" t="str">
            <v>-</v>
          </cell>
        </row>
        <row r="365">
          <cell r="C365" t="str">
            <v>Analisis Pengaruh Pemasangan Ground Yang Dikopel Dengan Netral Pada Pengawatan Instalasi Milik Langganan (Iml) Terhadap Pengukuran Daya Pada Kwh Meter Elektronik 1 Fasa …</v>
          </cell>
          <cell r="D365" t="str">
            <v>M Amiruddin</v>
          </cell>
          <cell r="E365" t="str">
            <v>Institut Teknologi Sepuluh Nopember</v>
          </cell>
          <cell r="F365">
            <v>2021</v>
          </cell>
          <cell r="G365">
            <v>0</v>
          </cell>
          <cell r="H365" t="str">
            <v>National Journal</v>
          </cell>
          <cell r="I365" t="str">
            <v>-</v>
          </cell>
        </row>
        <row r="366">
          <cell r="C366" t="str">
            <v>PERANCANGAN DATA LOGGER UNTUK SISTEM PEMANTUAN KERJA MOTOR POMPA</v>
          </cell>
          <cell r="D366" t="str">
            <v>SR Handoko, M Amiruddin, I Harjanto</v>
          </cell>
          <cell r="E366" t="str">
            <v>Proceeding Science and Engineering National Seminar</v>
          </cell>
          <cell r="F366">
            <v>2020</v>
          </cell>
          <cell r="G366">
            <v>0</v>
          </cell>
          <cell r="H366" t="str">
            <v>National Proceeding</v>
          </cell>
          <cell r="I366" t="str">
            <v>-</v>
          </cell>
        </row>
        <row r="367">
          <cell r="C367" t="str">
            <v>PEMANFAATAN SENSOR GETARAN UNTUK SISTEM PEMANTAUAN KERJA MOTOR POMPA</v>
          </cell>
          <cell r="D367" t="str">
            <v>N Fadlilah, M Amiruddin, I Harjanto</v>
          </cell>
          <cell r="E367" t="str">
            <v>Proceeding Science and Engineering National Seminar</v>
          </cell>
          <cell r="F367">
            <v>2020</v>
          </cell>
          <cell r="G367">
            <v>0</v>
          </cell>
          <cell r="H367" t="str">
            <v>National Proceeding</v>
          </cell>
          <cell r="I367" t="str">
            <v>-</v>
          </cell>
        </row>
        <row r="368">
          <cell r="C368" t="str">
            <v>ANALISIS PENGGUNAAN VARIASI CAPASITOR BOOSTER PADA SISTEM PENGAPIAN TERHADAP TORSI DAN DAYA SEPEDA MOTOR SUPRA FIT 100 CC</v>
          </cell>
          <cell r="D368" t="str">
            <v>M Amiruddin</v>
          </cell>
          <cell r="E368" t="str">
            <v>Seminar Nasional Science and Engineering National Seminar</v>
          </cell>
          <cell r="F368">
            <v>2019</v>
          </cell>
          <cell r="G368">
            <v>0</v>
          </cell>
          <cell r="H368" t="str">
            <v>National Proceeding</v>
          </cell>
          <cell r="I368" t="str">
            <v>-</v>
          </cell>
        </row>
        <row r="369">
          <cell r="C369" t="str">
            <v>IbM PANTI ASUHAN YATIM PIATU BAITI JANNATI SEMARANG MELALUI PENGEMBANGAN MODEL RUMAH PANGAN LESTARI (M-RPL) DENGAN TEKNIK HIDROPONIK</v>
          </cell>
          <cell r="D369" t="str">
            <v>ER Mulyaningrum, IB Minarti, M Amiruddin, GC Wicaksono</v>
          </cell>
          <cell r="E369" t="str">
            <v>SEMINAR NASIONAL HASIL PENGABDIAN 2015</v>
          </cell>
          <cell r="F369">
            <v>2017</v>
          </cell>
          <cell r="G369">
            <v>0</v>
          </cell>
          <cell r="H369" t="str">
            <v>National Proceeding</v>
          </cell>
          <cell r="I369" t="str">
            <v>S3-S5</v>
          </cell>
        </row>
        <row r="370">
          <cell r="C370" t="str">
            <v>PERANGKAT KERAS KENDALI PORT I/O VIA WEB</v>
          </cell>
          <cell r="D370" t="str">
            <v>M Amiruddin, S Wibowo</v>
          </cell>
          <cell r="E370" t="str">
            <v>SEMINAR HASIL-HASIL PENELITIAN 2014</v>
          </cell>
          <cell r="F370">
            <v>2015</v>
          </cell>
          <cell r="G370">
            <v>0</v>
          </cell>
          <cell r="H370" t="str">
            <v>National Proceeding</v>
          </cell>
          <cell r="I370" t="str">
            <v>-</v>
          </cell>
        </row>
        <row r="371">
          <cell r="C371" t="str">
            <v>SISTEM KENDALI PERALATAN ON/OFF VIA WEB</v>
          </cell>
          <cell r="D371" t="str">
            <v>M Amiruddin, I Harjanto, RS Wardhana</v>
          </cell>
          <cell r="E371" t="str">
            <v>Prosiding Sains Nasional dan Teknologi</v>
          </cell>
          <cell r="F371">
            <v>2014</v>
          </cell>
          <cell r="G371">
            <v>0</v>
          </cell>
          <cell r="H371" t="str">
            <v>National Proceeding</v>
          </cell>
          <cell r="I371" t="str">
            <v>-</v>
          </cell>
        </row>
        <row r="372">
          <cell r="C372" t="str">
            <v>IMPLEMENTASI PROGRAM SEKOLAH PENGGERAK DALAM MENINGKATKAN KUALITAS PENDIDIKAN DI SMAN SUMATERA SELATAN</v>
          </cell>
          <cell r="D372" t="str">
            <v>M Amiruddin, N Ahyani, M Mahasir</v>
          </cell>
          <cell r="E372" t="str">
            <v>Jurnal JUMPED (Jurnal Manajemen Pendidikan)</v>
          </cell>
          <cell r="G372">
            <v>0</v>
          </cell>
          <cell r="H372" t="str">
            <v>National Journal</v>
          </cell>
          <cell r="I372" t="str">
            <v>-</v>
          </cell>
        </row>
        <row r="373">
          <cell r="C373" t="str">
            <v>Project-based learning via traditional game in physics learning: Its impact on critical thinking, creative thinking, and collaborative skills</v>
          </cell>
          <cell r="D373" t="str">
            <v>N Khoiri, S Ristanto, AF Kurniawan</v>
          </cell>
          <cell r="E373" t="str">
            <v>Jurnal Pendidikan IPA Indonesia</v>
          </cell>
          <cell r="F373">
            <v>2023</v>
          </cell>
          <cell r="G373">
            <v>91</v>
          </cell>
          <cell r="H373" t="str">
            <v>National Journal</v>
          </cell>
          <cell r="I373" t="str">
            <v>S1</v>
          </cell>
        </row>
        <row r="374">
          <cell r="C374" t="str">
            <v>Profil kemampuan berpikir komputasional (computational thinking) siswa SMP negeri se-kota semarang tahun 2022</v>
          </cell>
          <cell r="D374" t="str">
            <v>MR Putri</v>
          </cell>
          <cell r="E374" t="str">
            <v>Universitas PGRI Semarang</v>
          </cell>
          <cell r="F374">
            <v>2022</v>
          </cell>
          <cell r="G374">
            <v>38</v>
          </cell>
          <cell r="H374" t="str">
            <v>National Journal</v>
          </cell>
          <cell r="I374" t="str">
            <v>-</v>
          </cell>
        </row>
        <row r="375">
          <cell r="C375" t="str">
            <v>Pembelajaran real laboratory dan tugas mandiri fisika pada siswa smk sesuai dengan keterampilan abad 21</v>
          </cell>
          <cell r="D375" t="str">
            <v>S Susilawati, S Ristanto, N Khoiri</v>
          </cell>
          <cell r="E375" t="str">
            <v>Jurnal Pendidikan Fisika Indonesia</v>
          </cell>
          <cell r="F375">
            <v>2015</v>
          </cell>
          <cell r="G375">
            <v>33</v>
          </cell>
          <cell r="H375" t="str">
            <v>National Journal</v>
          </cell>
          <cell r="I375" t="str">
            <v>S2</v>
          </cell>
        </row>
        <row r="376">
          <cell r="C376" t="str">
            <v>Thermoacoustic design using stem of goose down stack</v>
          </cell>
          <cell r="D376" t="str">
            <v>I Farikhah, S Ristanto, H Idrus, U Kaltsum, A Faisal, I Setiawan, ...</v>
          </cell>
          <cell r="E376" t="str">
            <v>AIP Conference Proceedings</v>
          </cell>
          <cell r="F376">
            <v>2012</v>
          </cell>
          <cell r="G376">
            <v>13</v>
          </cell>
          <cell r="H376" t="str">
            <v>International Proceeding</v>
          </cell>
          <cell r="I376" t="str">
            <v>-</v>
          </cell>
        </row>
        <row r="377">
          <cell r="C377" t="str">
            <v>Literatur Review: Implementasi Media Pembelajaran Energi Alternatif Berbasis Kincir Angin Bertenaga Surya dengan Pendekatan STEM</v>
          </cell>
          <cell r="D377" t="str">
            <v>S Ristianti, N Khoiri, J Saefan, S Ristanto</v>
          </cell>
          <cell r="E377" t="str">
            <v>Jurnal Inovasi Pembelajaran di Sekolah</v>
          </cell>
          <cell r="F377">
            <v>2024</v>
          </cell>
          <cell r="G377">
            <v>12</v>
          </cell>
          <cell r="H377" t="str">
            <v>National Journal</v>
          </cell>
          <cell r="I377" t="str">
            <v>-</v>
          </cell>
        </row>
        <row r="378">
          <cell r="C378" t="str">
            <v>Pengembangan e-lkpd berbasis problem based learning untuk meningkatkan kemampuan pengambilan keputusan peserta didik</v>
          </cell>
          <cell r="D378" t="str">
            <v>EY Ismawati, N Khoiri, J Saefan, S Ristanto, HA Prakosa, S Ristianti</v>
          </cell>
          <cell r="E378" t="str">
            <v>Jurnal Inovasi Pembelajaran Di Sekolah</v>
          </cell>
          <cell r="F378">
            <v>2023</v>
          </cell>
          <cell r="G378">
            <v>12</v>
          </cell>
          <cell r="H378" t="str">
            <v>National Journal</v>
          </cell>
          <cell r="I378" t="str">
            <v>-</v>
          </cell>
        </row>
        <row r="379">
          <cell r="C379" t="str">
            <v>Eksperimen Gerak Jatuh Bebas Berbasis Perekaman Video di MA Wahid Hasyim</v>
          </cell>
          <cell r="D379" t="str">
            <v>S Ristanto</v>
          </cell>
          <cell r="E379" t="str">
            <v>Jurnal Penelitian Pembelajaran Fisika</v>
          </cell>
          <cell r="F379">
            <v>2012</v>
          </cell>
          <cell r="G379">
            <v>11</v>
          </cell>
          <cell r="H379" t="str">
            <v>National Journal</v>
          </cell>
          <cell r="I379" t="str">
            <v>-</v>
          </cell>
        </row>
        <row r="380">
          <cell r="C380" t="str">
            <v>Study on Local-Structure Symmetrization of K2XF6 Crystals Doped with Mn4+ Ions by First-Principles Calculations</v>
          </cell>
          <cell r="D380" t="str">
            <v>M Novita, S Ristanto, E Saptaningrum, S Supriyadi, D Marlina, ...</v>
          </cell>
          <cell r="E380" t="str">
            <v>materials</v>
          </cell>
          <cell r="F380">
            <v>2023</v>
          </cell>
          <cell r="G380">
            <v>8</v>
          </cell>
          <cell r="H380" t="str">
            <v>International Journal</v>
          </cell>
          <cell r="I380" t="str">
            <v>-</v>
          </cell>
        </row>
        <row r="381">
          <cell r="C381" t="str">
            <v>Pendampingan Pengembangan Keprofesian Berkelanjutan Bagi Guru IPA SMP Kota Semarang</v>
          </cell>
          <cell r="D381" t="str">
            <v>N Khoiri, AF Kurniawan, S Ristanto</v>
          </cell>
          <cell r="E381" t="str">
            <v>Seminar Nasional Hasil Penelitian dan Pengabdian Kepada Masyarakat</v>
          </cell>
          <cell r="F381">
            <v>2022</v>
          </cell>
          <cell r="G381">
            <v>7</v>
          </cell>
          <cell r="H381" t="str">
            <v>National Proceeding</v>
          </cell>
          <cell r="I381" t="str">
            <v>S3-S5</v>
          </cell>
        </row>
        <row r="382">
          <cell r="C382" t="str">
            <v>Pendampingan Pembuatan Media Pembelajaran Virtual bagi Guru IPA SMP se-Kabupaten Semarang</v>
          </cell>
          <cell r="D382" t="str">
            <v>N Khoiri, S Ristanto, C Huda, J Saefan, W Kurniawan</v>
          </cell>
          <cell r="E382" t="str">
            <v>Journal of Dedicator Community JODC</v>
          </cell>
          <cell r="F382">
            <v>2022</v>
          </cell>
          <cell r="G382">
            <v>7</v>
          </cell>
          <cell r="H382" t="str">
            <v>Community Service Journal</v>
          </cell>
          <cell r="I382" t="str">
            <v>-</v>
          </cell>
        </row>
        <row r="383">
          <cell r="C383" t="str">
            <v>Pengembangan bahan ajar fisika berbasis stem (science, technology, engineering, and mathematics) untuk sma kelas x semester ganjil</v>
          </cell>
          <cell r="D383" t="str">
            <v>F Ardiyanti, S Ristanto, H Nuroso</v>
          </cell>
          <cell r="E383" t="str">
            <v>Lontar Physics Today</v>
          </cell>
          <cell r="F383">
            <v>2022</v>
          </cell>
          <cell r="G383">
            <v>7</v>
          </cell>
          <cell r="H383" t="str">
            <v>National Journal</v>
          </cell>
          <cell r="I383" t="str">
            <v>S3</v>
          </cell>
        </row>
        <row r="384">
          <cell r="C384" t="str">
            <v>Analisis Korelasi Kesadaran Metakognisi Dengan Hasil Belajar Siswa SMA</v>
          </cell>
          <cell r="D384" t="str">
            <v>SAP Nurchikmah, J Siswanto, S Ristanto</v>
          </cell>
          <cell r="E384" t="str">
            <v>Lontar Physics Today</v>
          </cell>
          <cell r="F384">
            <v>2022</v>
          </cell>
          <cell r="G384">
            <v>7</v>
          </cell>
          <cell r="H384" t="str">
            <v>National Journal</v>
          </cell>
          <cell r="I384" t="str">
            <v>S3</v>
          </cell>
        </row>
        <row r="385">
          <cell r="C385" t="str">
            <v>Analisis keterampilan pengambilan keputusan pada pemecahan masalah fisika peserta didik kelas X SMA N 1 Mranggen</v>
          </cell>
          <cell r="D385" t="str">
            <v>AC Utami, N Khoiri, J Saefan, S Ristanto</v>
          </cell>
          <cell r="E385" t="str">
            <v>Jurnal Inovasi Pembelajaran di Sekolah</v>
          </cell>
          <cell r="F385">
            <v>2023</v>
          </cell>
          <cell r="G385">
            <v>6</v>
          </cell>
          <cell r="H385" t="str">
            <v>National Journal</v>
          </cell>
          <cell r="I385" t="str">
            <v>-</v>
          </cell>
        </row>
        <row r="386">
          <cell r="C386" t="str">
            <v>Pelatihan Pembuatan Media Pembelajaran Terbarukan Bagi Guru-Guru SMAN 1 Singorojo Kendal</v>
          </cell>
          <cell r="D386" t="str">
            <v>A Buchori, S Ristanto, A Setiawan, ND Rahmawati</v>
          </cell>
          <cell r="E386" t="str">
            <v>Muria Jurnal Layanan Masyarakat</v>
          </cell>
          <cell r="F386">
            <v>2022</v>
          </cell>
          <cell r="G386">
            <v>6</v>
          </cell>
          <cell r="H386" t="str">
            <v>Community Service Journal</v>
          </cell>
          <cell r="I386" t="str">
            <v>S3-S5</v>
          </cell>
        </row>
        <row r="387">
          <cell r="C387" t="str">
            <v>Pemanfaatan Limbah Tanaman Rambutan Sebagai Pupuk dan Sirup Di Kelurahan Ngadirgo Mijen Semarang</v>
          </cell>
          <cell r="D387" t="str">
            <v>MA Dzakiy, M Sulistyoningsih, S Ristanto, R Rakhmawati, DE Handayani</v>
          </cell>
          <cell r="E387" t="str">
            <v>E-Dimas: Jurnal Pengabdian kepada Masyarakat</v>
          </cell>
          <cell r="F387">
            <v>2013</v>
          </cell>
          <cell r="G387">
            <v>6</v>
          </cell>
          <cell r="H387" t="str">
            <v>Community Service Journal</v>
          </cell>
          <cell r="I387" t="str">
            <v>S3-S5</v>
          </cell>
        </row>
        <row r="388">
          <cell r="C388" t="str">
            <v>Uji coba pemanfaatan software soundcard oscilloscope V1. 40 untuk praktikum efek dopler</v>
          </cell>
          <cell r="D388" t="str">
            <v>S Ristanto</v>
          </cell>
          <cell r="E388" t="str">
            <v>Jurnal Penelitian Pembelajaran Fisika</v>
          </cell>
          <cell r="F388">
            <v>2016</v>
          </cell>
          <cell r="G388">
            <v>5</v>
          </cell>
          <cell r="H388" t="str">
            <v>National Journal</v>
          </cell>
          <cell r="I388" t="str">
            <v>-</v>
          </cell>
        </row>
        <row r="389">
          <cell r="C389" t="str">
            <v>Pengukuran indeks ultraviolet matahari dan atenuasinya oleh beberapa bahan untuk rekomendasi waktu aman berjemur</v>
          </cell>
          <cell r="D389" t="str">
            <v>S Ristanto, C Huda, AF Kurniawan</v>
          </cell>
          <cell r="E389" t="str">
            <v>Indonesian Journal of Applied Physics</v>
          </cell>
          <cell r="F389">
            <v>2021</v>
          </cell>
          <cell r="G389">
            <v>4</v>
          </cell>
          <cell r="H389" t="str">
            <v>National Journal</v>
          </cell>
          <cell r="I389" t="str">
            <v>S3</v>
          </cell>
        </row>
        <row r="390">
          <cell r="C390" t="str">
            <v>System and method for stereoscopic image acquisition</v>
          </cell>
          <cell r="D390" t="str">
            <v>S Ristanto, W Nugroho, E Sulistya, GB Suparta</v>
          </cell>
          <cell r="E390" t="str">
            <v>AIP Conference Proceedings</v>
          </cell>
          <cell r="F390">
            <v>2021</v>
          </cell>
          <cell r="G390">
            <v>4</v>
          </cell>
          <cell r="H390" t="str">
            <v>International Proceeding</v>
          </cell>
          <cell r="I390" t="str">
            <v>-</v>
          </cell>
        </row>
        <row r="391">
          <cell r="C391" t="str">
            <v>Diseminasi Teknologi Mesin Genset Tenaga Surya Bagi Masyarakat Terdampak Bencana Gunung Merapi Desa Wukirsari Kecamatan Cangkringan Kabupaten Sleman</v>
          </cell>
          <cell r="D391" t="str">
            <v>A Buchori, S Widodo, S Ristanto, LE Artiani</v>
          </cell>
          <cell r="E391" t="str">
            <v>Journal of Dedicators Community</v>
          </cell>
          <cell r="F391">
            <v>2019</v>
          </cell>
          <cell r="G391">
            <v>4</v>
          </cell>
          <cell r="H391" t="str">
            <v>Community Service Journal</v>
          </cell>
          <cell r="I391" t="str">
            <v>-</v>
          </cell>
        </row>
        <row r="392">
          <cell r="C392" t="str">
            <v>Soft Starter untuk Pompa Submersible Satu Fasa dengan Controller PID TK4S-T4SN</v>
          </cell>
          <cell r="D392" t="str">
            <v>A Kusmantoro</v>
          </cell>
          <cell r="F392">
            <v>2017</v>
          </cell>
          <cell r="G392">
            <v>4</v>
          </cell>
          <cell r="H392" t="str">
            <v>Other</v>
          </cell>
          <cell r="I392" t="str">
            <v>-</v>
          </cell>
        </row>
        <row r="393">
          <cell r="C393" t="str">
            <v>Penerapan Model Pembelajaran Probing Prompting Berbantuan Media Power Point pada Materi Mekanika Fluida untuk Meningkatkan Hasil Belajar Siswa Kelas XI IPA 5 SMAN 1 Bae Kudus</v>
          </cell>
          <cell r="D393" t="str">
            <v>R Isna, S Hendratto, S Ristanto</v>
          </cell>
          <cell r="E393" t="str">
            <v>MATHEMATICS AND SCIENCES FORUM 2014</v>
          </cell>
          <cell r="F393">
            <v>2014</v>
          </cell>
          <cell r="G393">
            <v>4</v>
          </cell>
          <cell r="H393" t="str">
            <v>National Journal</v>
          </cell>
          <cell r="I393" t="str">
            <v>-</v>
          </cell>
        </row>
        <row r="394">
          <cell r="C394" t="str">
            <v>Kajian literatur: Model pembelajaran problem based learning pada materi fisika terhadap hasil belajar siswa</v>
          </cell>
          <cell r="D394" t="str">
            <v>NR Zulva, S Ristanto, N Khoiri</v>
          </cell>
          <cell r="E394" t="str">
            <v>Lontar Physics Today</v>
          </cell>
          <cell r="F394">
            <v>2024</v>
          </cell>
          <cell r="G394">
            <v>3</v>
          </cell>
          <cell r="H394" t="str">
            <v>National Journal</v>
          </cell>
          <cell r="I394" t="str">
            <v>S3</v>
          </cell>
        </row>
        <row r="395">
          <cell r="C395" t="str">
            <v>Improving the Attitudes and Creative Thinking Skills of Senior High School Students Using an ESD-Enhanced STEM Approach</v>
          </cell>
          <cell r="D395" t="str">
            <v>DF Aslam, N Khoiri, S Joko Saefan, E Saptaningrum, S Ristanto</v>
          </cell>
          <cell r="E395" t="str">
            <v>Berkala Ilmiah Pendidikan Fisika</v>
          </cell>
          <cell r="F395">
            <v>2024</v>
          </cell>
          <cell r="G395">
            <v>3</v>
          </cell>
          <cell r="H395" t="str">
            <v>National Journal</v>
          </cell>
          <cell r="I395" t="str">
            <v>S2</v>
          </cell>
        </row>
        <row r="396">
          <cell r="C396" t="str">
            <v>Penguatan Keterampilan Abad 21 Melalui Perancangan Alat Peraga Pembelajaran Fisika Berorientasi Merancang Kegiatan Laboratorium-Keterampilan Generik Sains (MKL-KGS):-</v>
          </cell>
          <cell r="D396" t="str">
            <v>N Khoiri, AF Kurniawan, S Ristanto</v>
          </cell>
          <cell r="E396" t="str">
            <v>Jurnal Pengabdian Dan Peningkatan Mutu Masyarakat (Janayu)</v>
          </cell>
          <cell r="F396">
            <v>2023</v>
          </cell>
          <cell r="G396">
            <v>3</v>
          </cell>
          <cell r="H396" t="str">
            <v>Community Service Journal</v>
          </cell>
          <cell r="I396" t="str">
            <v>S3-S5</v>
          </cell>
        </row>
        <row r="397">
          <cell r="C397" t="str">
            <v>Profile of Students’ Conceptual Understanding of Physics in Senior High School</v>
          </cell>
          <cell r="D397" t="str">
            <v>N Khoiri, S Ristanto, AF Kurniawan</v>
          </cell>
          <cell r="E397" t="str">
            <v>Jurnal Penelitian &amp; Pengembangan Pendidikan Fisika</v>
          </cell>
          <cell r="F397">
            <v>2022</v>
          </cell>
          <cell r="G397">
            <v>3</v>
          </cell>
          <cell r="H397" t="str">
            <v>National Journal</v>
          </cell>
          <cell r="I397" t="str">
            <v>S2</v>
          </cell>
        </row>
        <row r="398">
          <cell r="C398" t="str">
            <v>Microstructural and Carbon Phase Analysis of Water Hyacinth Derived Biochar under Particle Size Variation</v>
          </cell>
          <cell r="D398" t="str">
            <v>DA Putri, Y Taryana, S Ristanto, N Khoiri, AF Kurniawan</v>
          </cell>
          <cell r="E398" t="str">
            <v>Lontar Physics Today</v>
          </cell>
          <cell r="F398">
            <v>2026</v>
          </cell>
          <cell r="G398">
            <v>2</v>
          </cell>
          <cell r="H398" t="str">
            <v>National Journal</v>
          </cell>
          <cell r="I398" t="str">
            <v>S3</v>
          </cell>
        </row>
        <row r="399">
          <cell r="C399" t="str">
            <v>Pengaruh Penggunaan Cat Reflektif Terhadap Resistensi Panas Pada Atap Genteng sebagai Upaya Mendukung Green Building</v>
          </cell>
          <cell r="D399" t="str">
            <v>PA Damayanti, E Saptaningrum, S Supriyadi, BA Wibawa, S Ristanto</v>
          </cell>
          <cell r="E399" t="str">
            <v>MEDIA KONSTRUKSI</v>
          </cell>
          <cell r="F399">
            <v>2025</v>
          </cell>
          <cell r="G399">
            <v>2</v>
          </cell>
          <cell r="H399" t="str">
            <v>National Journal</v>
          </cell>
          <cell r="I399" t="str">
            <v>-</v>
          </cell>
        </row>
        <row r="400">
          <cell r="C400" t="str">
            <v>Reasons for Students Interest in Learning Physics Subjects in Senior High School</v>
          </cell>
          <cell r="D400" t="str">
            <v>AF Kurniawan, S Ristanto, N Khoiri</v>
          </cell>
          <cell r="E400" t="str">
            <v>Jurnal Penelitian &amp; Pengembangan Pendidikan Fisika</v>
          </cell>
          <cell r="F400">
            <v>2023</v>
          </cell>
          <cell r="G400">
            <v>2</v>
          </cell>
          <cell r="H400" t="str">
            <v>National Journal</v>
          </cell>
          <cell r="I400" t="str">
            <v>S2</v>
          </cell>
        </row>
        <row r="401">
          <cell r="C401" t="str">
            <v>Practicum Ticker Timer with Inquiry Approach to Improve Student Learning Outcomes</v>
          </cell>
          <cell r="D401" t="str">
            <v>N Khoiri, S Respayanti, AF Kurniawan, S Ristanto</v>
          </cell>
          <cell r="E401" t="str">
            <v>Jurnal Penelitian Pendidikan IPA</v>
          </cell>
          <cell r="F401">
            <v>2023</v>
          </cell>
          <cell r="G401">
            <v>2</v>
          </cell>
          <cell r="H401" t="str">
            <v>National Journal</v>
          </cell>
          <cell r="I401" t="str">
            <v>S1</v>
          </cell>
        </row>
        <row r="402">
          <cell r="C402" t="str">
            <v>Pembelajaran Kinetik Gas dengan Pendekatan Lifeskill untuk Mengajarkan Keterampilan Komunikasi</v>
          </cell>
          <cell r="D402" t="str">
            <v>N Khoiri, AF Kurniawan, S Ristanto, SP Martina</v>
          </cell>
          <cell r="E402" t="str">
            <v>Jurnal Penelitian Pembelajaran Fisika</v>
          </cell>
          <cell r="F402">
            <v>2022</v>
          </cell>
          <cell r="G402">
            <v>2</v>
          </cell>
          <cell r="H402" t="str">
            <v>National Journal</v>
          </cell>
          <cell r="I402" t="str">
            <v>-</v>
          </cell>
        </row>
        <row r="403">
          <cell r="C403" t="str">
            <v>Development of laboratory devices for real-time measurement of object 3D position using stereo cameras</v>
          </cell>
          <cell r="D403" t="str">
            <v>S Ristanto, W Nugroho, E Sulistya, GB Suparta</v>
          </cell>
          <cell r="E403" t="str">
            <v>Physics Education</v>
          </cell>
          <cell r="F403">
            <v>2022</v>
          </cell>
          <cell r="G403">
            <v>2</v>
          </cell>
          <cell r="H403" t="str">
            <v>National Journal</v>
          </cell>
          <cell r="I403" t="str">
            <v>-</v>
          </cell>
        </row>
        <row r="404">
          <cell r="C404" t="str">
            <v>3D Velocity Measurement of Translational Motion using a Stereo Camera</v>
          </cell>
          <cell r="D404" t="str">
            <v>ES S Ristanto, W Nugroho, GB Suparta</v>
          </cell>
          <cell r="E404" t="str">
            <v>International Journal on Advanced Science, Engineering and Information …</v>
          </cell>
          <cell r="F404">
            <v>2021</v>
          </cell>
          <cell r="G404">
            <v>2</v>
          </cell>
          <cell r="H404" t="str">
            <v>International Journal</v>
          </cell>
          <cell r="I404" t="str">
            <v>-</v>
          </cell>
        </row>
        <row r="405">
          <cell r="C405" t="str">
            <v>Pengaruh Model Discovery Learning Berbantu Kartu Masalah Pada Materi Gerak Lurus Terhadap Hasil Belajar Siswa Kelas X IPA SMA N 1 Mranggen Tahun Pelajaran 2014/2015</v>
          </cell>
          <cell r="D405" t="str">
            <v>W Kemuning, N Khoiri, S Ristanto</v>
          </cell>
          <cell r="E405" t="str">
            <v>Jurnal Penelitian Pembelajaran Fisika</v>
          </cell>
          <cell r="F405">
            <v>2015</v>
          </cell>
          <cell r="G405">
            <v>2</v>
          </cell>
          <cell r="H405" t="str">
            <v>National Journal</v>
          </cell>
          <cell r="I405" t="str">
            <v>-</v>
          </cell>
        </row>
        <row r="406">
          <cell r="C406" t="str">
            <v>Technology-Based Parabolic Motion in Physics Education: A Systematic Literature Review</v>
          </cell>
          <cell r="D406" t="str">
            <v>DA Kuntari, S Ristanto, J Siswanto, W Kurniawan</v>
          </cell>
          <cell r="E406" t="str">
            <v>Lontar Physics Today</v>
          </cell>
          <cell r="F406">
            <v>2026</v>
          </cell>
          <cell r="G406">
            <v>1</v>
          </cell>
          <cell r="H406" t="str">
            <v>National Journal</v>
          </cell>
          <cell r="I406" t="str">
            <v>S3</v>
          </cell>
        </row>
        <row r="407">
          <cell r="C407" t="str">
            <v>Effectiveness of implementing deep learning approach using PBL with PhET simulation on students’ interest and collaboration</v>
          </cell>
          <cell r="D407" t="str">
            <v>J Julia, N Khoiri, AF Kurniawan, S Ristanto</v>
          </cell>
          <cell r="E407" t="str">
            <v>Physics Education</v>
          </cell>
          <cell r="F407">
            <v>2025</v>
          </cell>
          <cell r="G407">
            <v>1</v>
          </cell>
          <cell r="H407" t="str">
            <v>National Journal</v>
          </cell>
          <cell r="I407" t="str">
            <v>-</v>
          </cell>
        </row>
        <row r="408">
          <cell r="C408" t="str">
            <v>Enhancing Students’ Climate Change Literacy through Climate-Integrated Physics Learning via Citizen Science</v>
          </cell>
          <cell r="D408" t="str">
            <v>DA Kuntari, S Ristanto, J Siswanto</v>
          </cell>
          <cell r="E408" t="str">
            <v>Jurnal Pendidikan Fisika dan Teknologi 11 (1a), 30-41</v>
          </cell>
          <cell r="F408">
            <v>2025</v>
          </cell>
          <cell r="G408">
            <v>1</v>
          </cell>
          <cell r="H408" t="str">
            <v>National Journal</v>
          </cell>
          <cell r="I408" t="str">
            <v>-</v>
          </cell>
        </row>
        <row r="409">
          <cell r="C409" t="str">
            <v>Need assessment pengembangan model pembelajaran yang bertujuan untuk meningkatkan kemampuan berpikir komputasional siswa</v>
          </cell>
          <cell r="D409" t="str">
            <v>MR Putri, S Ristanto, D Nuvitalia</v>
          </cell>
          <cell r="E409" t="str">
            <v>Prosiding Seminar Nasional Lontar Physics Forum, 147-152</v>
          </cell>
          <cell r="F409">
            <v>2022</v>
          </cell>
          <cell r="G409">
            <v>1</v>
          </cell>
          <cell r="H409" t="str">
            <v>National Proceeding</v>
          </cell>
          <cell r="I409" t="str">
            <v>-</v>
          </cell>
        </row>
        <row r="410">
          <cell r="C410" t="str">
            <v>Analisis Gerak Pesawat Atwood Menggunakan Sensor IR-LED Dan Pengolahan Citra</v>
          </cell>
          <cell r="D410" t="str">
            <v>A Zaroni</v>
          </cell>
          <cell r="E410" t="str">
            <v>Universitas PGRI Semarang</v>
          </cell>
          <cell r="F410">
            <v>2022</v>
          </cell>
          <cell r="G410">
            <v>1</v>
          </cell>
          <cell r="H410" t="str">
            <v>National Journal</v>
          </cell>
          <cell r="I410" t="str">
            <v>-</v>
          </cell>
        </row>
        <row r="411">
          <cell r="C411" t="str">
            <v>Diseminasi Teknologi Mesin Pengupas Kulit Ari Kacang Hijau Sistem Roller Terbarukan Di Desa Karangpaing Kecamatan Penawangan Kabupaten Grobogan</v>
          </cell>
          <cell r="D411" t="str">
            <v>A Buchori, S Ristanto, Y Setyoadi, F Nurdyansyah</v>
          </cell>
          <cell r="E411" t="str">
            <v>Journal Of Dedicators Community</v>
          </cell>
          <cell r="F411">
            <v>2020</v>
          </cell>
          <cell r="G411">
            <v>1</v>
          </cell>
          <cell r="H411" t="str">
            <v>Community Service Journal</v>
          </cell>
          <cell r="I411" t="str">
            <v>-</v>
          </cell>
        </row>
        <row r="412">
          <cell r="C412" t="str">
            <v>Real Laboratory Based Learning Using Video Tracker on Terminal Velocity</v>
          </cell>
          <cell r="D412" t="str">
            <v>S Ristanto, ES Novita</v>
          </cell>
          <cell r="E412" t="str">
            <v>Praise to Allah SWT for all the blessings and guidance given to us all, so …</v>
          </cell>
          <cell r="F412">
            <v>2016</v>
          </cell>
          <cell r="G412">
            <v>1</v>
          </cell>
          <cell r="H412" t="str">
            <v>National Journal</v>
          </cell>
          <cell r="I412" t="str">
            <v>-</v>
          </cell>
        </row>
        <row r="413">
          <cell r="C413" t="str">
            <v>Pemodelan transfer panas dan massa pada proses pengeringan biji-bijian sistem rak beserta solusi numeriknya</v>
          </cell>
          <cell r="D413" t="str">
            <v>C Huda</v>
          </cell>
          <cell r="E413" t="str">
            <v>Jurnal Ilmiah Pendidikan Fisika Al-BiRuNi</v>
          </cell>
          <cell r="F413">
            <v>2016</v>
          </cell>
          <cell r="G413">
            <v>1</v>
          </cell>
          <cell r="H413" t="str">
            <v>National Journal</v>
          </cell>
          <cell r="I413" t="str">
            <v>S2</v>
          </cell>
        </row>
        <row r="414">
          <cell r="C414" t="str">
            <v>Pengaruh pembelajaran fisika berbasis life skill terhadap hasil belajar siswa kelas xi sma negeri 9 semarang</v>
          </cell>
          <cell r="D414" t="str">
            <v>WA Widiastutik, N Khoiri, S Ristanto</v>
          </cell>
          <cell r="E414" t="str">
            <v>Jurnal Penelitian Pembelajaran Fisika</v>
          </cell>
          <cell r="F414">
            <v>2014</v>
          </cell>
          <cell r="G414">
            <v>1</v>
          </cell>
          <cell r="H414" t="str">
            <v>National Journal</v>
          </cell>
          <cell r="I414" t="str">
            <v>-</v>
          </cell>
        </row>
        <row r="415">
          <cell r="C415" t="str">
            <v>Pengaruh Posisi Stack Terhadap Frekuensi Resonansi Pada Tabung Resonator Termoakustik</v>
          </cell>
          <cell r="D415" t="str">
            <v>S Ristanto, AF Kurniawan, C Huda</v>
          </cell>
          <cell r="E415" t="str">
            <v>Jurnal Fisika</v>
          </cell>
          <cell r="F415">
            <v>2013</v>
          </cell>
          <cell r="G415">
            <v>1</v>
          </cell>
          <cell r="H415" t="str">
            <v>National Journal</v>
          </cell>
          <cell r="I415" t="str">
            <v>S1</v>
          </cell>
        </row>
        <row r="416">
          <cell r="C416" t="str">
            <v>Pengaruh Cat pada Atap Galvalum untuk Mereduksi Suhu Bangunan Menuju Arsitektur Ramah Lingkungan</v>
          </cell>
          <cell r="D416" t="str">
            <v>S Ristanto, YDS Ome, E Saptaningrum, S Supriyadi, BA Wibawa</v>
          </cell>
          <cell r="E416" t="str">
            <v>Arsitektura: Jurnal Ilmiah Arsitektur dan Lingkungan Binaan</v>
          </cell>
          <cell r="G416">
            <v>1</v>
          </cell>
          <cell r="H416" t="str">
            <v>National Journal</v>
          </cell>
          <cell r="I416" t="str">
            <v>-</v>
          </cell>
        </row>
        <row r="417">
          <cell r="C417" t="str">
            <v>Effect of flow channel radius on the energy conversion of thermoacoustic machine for different ambient temperature</v>
          </cell>
          <cell r="D417" t="str">
            <v>I Farikhah, PN Mohd, S Wibowo, N Khoiri, S Ristanto, R Hermana</v>
          </cell>
          <cell r="E417" t="str">
            <v>Thermal Science, 19-19</v>
          </cell>
          <cell r="F417">
            <v>2026</v>
          </cell>
          <cell r="G417">
            <v>0</v>
          </cell>
          <cell r="H417" t="str">
            <v>International Journal</v>
          </cell>
          <cell r="I417" t="str">
            <v>-</v>
          </cell>
        </row>
        <row r="418">
          <cell r="C418" t="str">
            <v>Problem Based Learning and Deep Learning Approach Effects on Student Learning Outcomes</v>
          </cell>
          <cell r="D418" t="str">
            <v>J Julia, S Ristanto, AF Kuriawan, N Khoiri</v>
          </cell>
          <cell r="E418" t="str">
            <v>Unnes Science Education Journal</v>
          </cell>
          <cell r="F418">
            <v>2025</v>
          </cell>
          <cell r="G418">
            <v>0</v>
          </cell>
          <cell r="H418" t="str">
            <v>National Journal</v>
          </cell>
          <cell r="I418" t="str">
            <v>S2</v>
          </cell>
        </row>
        <row r="419">
          <cell r="C419" t="str">
            <v>-PENGUATAN PEMBUATAN MEDIA PEMBELAJARAN INTERAKTIF BERBASIS IT MGMP IPA BLORA</v>
          </cell>
          <cell r="D419" t="str">
            <v>AF Kurniawan, S Ristanto, J Saefan, N Khoiri</v>
          </cell>
          <cell r="E419" t="str">
            <v>Amaliah: Jurnal Pengabdian Kepada Masyarakat</v>
          </cell>
          <cell r="F419">
            <v>2025</v>
          </cell>
          <cell r="G419">
            <v>0</v>
          </cell>
          <cell r="H419" t="str">
            <v>Community Service Journal</v>
          </cell>
          <cell r="I419" t="str">
            <v>S3-S5</v>
          </cell>
        </row>
        <row r="420">
          <cell r="C420" t="str">
            <v>PKM Strengthening The Compilation Of Scientific WritingsMGMP Physics Boyolali Regency</v>
          </cell>
          <cell r="D420" t="str">
            <v>S Ristanto, N Khoiri, AF Kurniawan, J Saefan</v>
          </cell>
          <cell r="E420" t="str">
            <v>Jurnal Aksi Masyarakat</v>
          </cell>
          <cell r="F420">
            <v>2025</v>
          </cell>
          <cell r="G420">
            <v>0</v>
          </cell>
          <cell r="H420" t="str">
            <v>National Journal</v>
          </cell>
          <cell r="I420" t="str">
            <v>-</v>
          </cell>
        </row>
        <row r="421">
          <cell r="C421" t="str">
            <v>Pemanfaatan Teknologi Digital dalam Pembelajaran Siswa SMP di Kota Semarang</v>
          </cell>
          <cell r="D421" t="str">
            <v>MYW Lestari, TCS Budiman, J Sodiq, S Ristanto</v>
          </cell>
          <cell r="E421" t="str">
            <v>E-Dimas: Jurnal Pengabdian kepada Masyarakat</v>
          </cell>
          <cell r="F421">
            <v>2025</v>
          </cell>
          <cell r="G421">
            <v>0</v>
          </cell>
          <cell r="H421" t="str">
            <v>Community Service Journal</v>
          </cell>
          <cell r="I421" t="str">
            <v>S3-S5</v>
          </cell>
        </row>
        <row r="422">
          <cell r="C422" t="str">
            <v>PERANCANGAN DAN IMPLEMENTASI SISTEM KONTROL POMPA AIR DC 12V OTOMATIS DENGAN LOGIKA FUZZY BERBASIS ESP32</v>
          </cell>
          <cell r="D422" t="str">
            <v>AY Kusuma, I Harjanto, S Ristanto</v>
          </cell>
          <cell r="E422" t="str">
            <v>Science and Engineering National Seminar (SENS)</v>
          </cell>
          <cell r="F422">
            <v>2025</v>
          </cell>
          <cell r="G422">
            <v>0</v>
          </cell>
          <cell r="H422" t="str">
            <v>National Proceeding</v>
          </cell>
          <cell r="I422" t="str">
            <v>-</v>
          </cell>
        </row>
        <row r="423">
          <cell r="C423" t="str">
            <v>Simulation of the effect of regenerator porosity on the performance of zero centrigade thermoacoustic cooler generated by the single-stage thermoacoustic machine for …</v>
          </cell>
          <cell r="D423" t="str">
            <v>I Farikhah, EP Aldiansyah, N Khoiri, S Ristanto, S Wibowo</v>
          </cell>
          <cell r="E423" t="str">
            <v>Widya Teknik</v>
          </cell>
          <cell r="F423">
            <v>2024</v>
          </cell>
          <cell r="G423">
            <v>0</v>
          </cell>
          <cell r="H423" t="str">
            <v>National Journal</v>
          </cell>
          <cell r="I423" t="str">
            <v>-</v>
          </cell>
        </row>
        <row r="424">
          <cell r="C424" t="str">
            <v>Implementation of Video Tracker Application for Measurement of Elastic Pendulum Oscillatory Motion</v>
          </cell>
          <cell r="D424" t="str">
            <v>S Ristanto, HA Prakosa, N Khoiri, AF Kurniawan, J Saefan</v>
          </cell>
          <cell r="E424" t="str">
            <v>JPF (Jurnal Pendidikan Fisika) Universitas Islam Negeri Alauddin Makassar 12 …</v>
          </cell>
          <cell r="F424">
            <v>2024</v>
          </cell>
          <cell r="G424">
            <v>0</v>
          </cell>
          <cell r="H424" t="str">
            <v>National Journal</v>
          </cell>
          <cell r="I424" t="str">
            <v>-</v>
          </cell>
        </row>
        <row r="425">
          <cell r="C425" t="str">
            <v>PENGUATAN KARYA ILMIAH REMAJA (KIR) SISWA MAN 1 KOTA SEMARANG</v>
          </cell>
          <cell r="D425" t="str">
            <v>S Ristanto, N Khoiri, AF Kurniawan, J Saefan</v>
          </cell>
          <cell r="E425" t="str">
            <v>Seminar Nasional Hasil Penelitian dan Pengabdian Kepada Masyarakat</v>
          </cell>
          <cell r="F425">
            <v>2023</v>
          </cell>
          <cell r="G425">
            <v>0</v>
          </cell>
          <cell r="H425" t="str">
            <v>National Proceeding</v>
          </cell>
          <cell r="I425" t="str">
            <v>S3-S5</v>
          </cell>
        </row>
        <row r="426">
          <cell r="C426" t="str">
            <v>Kesadaran Metakognisi Siswa Pada Pembelajaran Fisika Berbasis E-Learning melalui Edmodo di SMA Negeri 1 Randudongkal</v>
          </cell>
          <cell r="D426" t="str">
            <v>J Siswanto, S Ristanto</v>
          </cell>
          <cell r="E426" t="str">
            <v>Prosiding Seminar Nasional Lontar Physics Forum, 73-82</v>
          </cell>
          <cell r="F426">
            <v>2022</v>
          </cell>
          <cell r="G426">
            <v>0</v>
          </cell>
          <cell r="H426" t="str">
            <v>National Proceeding</v>
          </cell>
          <cell r="I426" t="str">
            <v>-</v>
          </cell>
        </row>
        <row r="427">
          <cell r="C427" t="str">
            <v>Comprehensive observations on pendulum oscillation using stereo vision</v>
          </cell>
          <cell r="D427" t="str">
            <v>S Ristanto, W Nugroho, E Sulistya, GB Suparta</v>
          </cell>
          <cell r="E427" t="str">
            <v>Physics Education</v>
          </cell>
          <cell r="F427">
            <v>2022</v>
          </cell>
          <cell r="G427">
            <v>0</v>
          </cell>
          <cell r="H427" t="str">
            <v>National Journal</v>
          </cell>
          <cell r="I427" t="str">
            <v>-</v>
          </cell>
        </row>
        <row r="428">
          <cell r="C428" t="str">
            <v>Profile of Students' Mastery of Physics Concepts in Senior High School/Madrasah Aliyah Semarang City</v>
          </cell>
          <cell r="D428" t="str">
            <v>N Khoiri, S Ristanto, AF Kurniawan</v>
          </cell>
          <cell r="E428" t="str">
            <v>Pendidikan Fisika Universitas Negeri Jakarta</v>
          </cell>
          <cell r="F428">
            <v>2022</v>
          </cell>
          <cell r="G428">
            <v>0</v>
          </cell>
          <cell r="H428" t="str">
            <v>National Journal</v>
          </cell>
          <cell r="I428" t="str">
            <v>-</v>
          </cell>
        </row>
        <row r="429">
          <cell r="C429" t="str">
            <v>Proceedings 6th Internattional Conference On Physics Applications (ICOPIA): The Future of Advance Materials, Nanoscience and Nanotechnology</v>
          </cell>
          <cell r="D429" t="str">
            <v>AF Kurniawan, S Ristanto, C Huda</v>
          </cell>
          <cell r="F429">
            <v>2017</v>
          </cell>
          <cell r="G429">
            <v>0</v>
          </cell>
          <cell r="H429" t="str">
            <v>Other</v>
          </cell>
          <cell r="I429" t="str">
            <v>-</v>
          </cell>
        </row>
        <row r="430">
          <cell r="C430" t="str">
            <v>IbM Musyawarah Guru Mata Pelajaran Fisika SMA Kabupaten Demak</v>
          </cell>
          <cell r="D430" t="str">
            <v>N Khoiri, S Ristanto, C Huda, S Susilawati, J Saefan</v>
          </cell>
          <cell r="E430" t="str">
            <v>SEMINAR NASIONAL HASIL-HASIL PENGABDIAN 2017</v>
          </cell>
          <cell r="F430">
            <v>2017</v>
          </cell>
          <cell r="G430">
            <v>0</v>
          </cell>
          <cell r="H430" t="str">
            <v>National Proceeding</v>
          </cell>
          <cell r="I430" t="str">
            <v>S3-S5</v>
          </cell>
        </row>
        <row r="431">
          <cell r="C431" t="str">
            <v>IbM GURU FISIKA SMA/MA SE-KABUPATEN DEMAK PENDAMPINGAN PENYUSUNAN KEGIATAN EKSPERIMEN DAN OPTIMALISASI PEMANFAATAN LABORATORIUM IPA/FISIKA</v>
          </cell>
          <cell r="D431" t="str">
            <v>C Huda, N Khoiri, S Ristanto, U Kaltsum, S Susilawati</v>
          </cell>
          <cell r="E431" t="str">
            <v>SEMINAR NASIONAL HASIL PENGABDIAN 2015</v>
          </cell>
          <cell r="F431">
            <v>2017</v>
          </cell>
          <cell r="G431">
            <v>0</v>
          </cell>
          <cell r="H431" t="str">
            <v>National Proceeding</v>
          </cell>
          <cell r="I431" t="str">
            <v>S3-S5</v>
          </cell>
        </row>
        <row r="432">
          <cell r="C432" t="str">
            <v>Desain Sistem Pompa Kalor untuk Proses Pengeringan Daun Sirsak Siklus Tertutup</v>
          </cell>
          <cell r="D432" t="str">
            <v>S Ristanto</v>
          </cell>
          <cell r="E432" t="str">
            <v>MATHEMATICS AND SCIENCES FORUM II 2016</v>
          </cell>
          <cell r="F432">
            <v>2016</v>
          </cell>
          <cell r="G432">
            <v>0</v>
          </cell>
          <cell r="H432" t="str">
            <v>National Journal</v>
          </cell>
          <cell r="I432" t="str">
            <v>-</v>
          </cell>
        </row>
        <row r="433">
          <cell r="C433" t="str">
            <v>PENGEMBANGAN AUTHENTIC ASSESMENT UNTUK MENILAI KARAKTER PESERTA DIDIK DALAM PEMBELAJARAN FISIKA</v>
          </cell>
          <cell r="D433" t="str">
            <v>I Kartini, NAN Murniati, S Ristanto</v>
          </cell>
          <cell r="E433" t="str">
            <v>LONTAR PHYSICS FORUM (LPF) 2015</v>
          </cell>
          <cell r="F433">
            <v>2016</v>
          </cell>
          <cell r="G433">
            <v>0</v>
          </cell>
          <cell r="H433" t="str">
            <v>National Proceeding</v>
          </cell>
          <cell r="I433" t="str">
            <v>-</v>
          </cell>
        </row>
        <row r="434">
          <cell r="C434" t="str">
            <v>Pengaruh Stack Terhadap Periode Gelombang Tekanan Dalam Tabung Resonator Termoakustik Ramah Lingkungan</v>
          </cell>
          <cell r="D434" t="str">
            <v>AF Kurniawan, S Ristanto, C Huda</v>
          </cell>
          <cell r="E434" t="str">
            <v>Prosiding Pertemuan Ilmiah XXVIII HFI Jateng &amp; DIY, Yogyakarta</v>
          </cell>
          <cell r="F434">
            <v>2014</v>
          </cell>
          <cell r="G434">
            <v>0</v>
          </cell>
          <cell r="H434" t="str">
            <v>National Proceeding</v>
          </cell>
          <cell r="I434" t="str">
            <v>-</v>
          </cell>
        </row>
        <row r="435">
          <cell r="C435" t="str">
            <v>Pengaruh Stack Terhadap Fase Gelombang Tekanan Dalam Tabung Resonator Termoakustik Ramah Lingkungan</v>
          </cell>
          <cell r="D435" t="str">
            <v>C Huda, AF Kurniawan, S Ristanto</v>
          </cell>
          <cell r="E435" t="str">
            <v>lpf2013</v>
          </cell>
          <cell r="F435">
            <v>2013</v>
          </cell>
          <cell r="G435">
            <v>0</v>
          </cell>
          <cell r="H435" t="str">
            <v>National Journal</v>
          </cell>
          <cell r="I435" t="str">
            <v>-</v>
          </cell>
        </row>
        <row r="436">
          <cell r="C436" t="str">
            <v>UPAYA PENINGKATAN AKTIVITAS MAHASISWA DALAM PROSES PERKULIAHAN FISIKA INTI MELALUI LESSON STUDY</v>
          </cell>
          <cell r="D436" t="str">
            <v>S Ristanto</v>
          </cell>
          <cell r="E436" t="str">
            <v>“Peningkatan Kualitas Pembelajaran dan Profesionalitas Pendidik di Perguruan …</v>
          </cell>
          <cell r="F436">
            <v>2012</v>
          </cell>
          <cell r="G436">
            <v>0</v>
          </cell>
          <cell r="H436" t="str">
            <v>National Journal</v>
          </cell>
          <cell r="I436" t="str">
            <v>-</v>
          </cell>
        </row>
        <row r="437">
          <cell r="C437" t="str">
            <v>Eksperimen gerak harmonik dua batang terkunci sebagian menggunakan teknik perekaman timelapsed</v>
          </cell>
          <cell r="D437" t="str">
            <v>S RISTANTO</v>
          </cell>
          <cell r="E437" t="str">
            <v>Universitas Gadjah Mada</v>
          </cell>
          <cell r="F437">
            <v>2009</v>
          </cell>
          <cell r="G437">
            <v>0</v>
          </cell>
          <cell r="H437" t="str">
            <v>National Journal</v>
          </cell>
          <cell r="I437" t="str">
            <v>-</v>
          </cell>
        </row>
        <row r="438">
          <cell r="C438" t="str">
            <v>Eksperimen Gerak Harmonik Dua Batang Terkunci Sebagian</v>
          </cell>
          <cell r="D438" t="str">
            <v>S Ristianto, GB Suparta</v>
          </cell>
          <cell r="E438" t="str">
            <v>Prosiding seminar nasional penelitian, pendidikan dan penerapan MIPA 16</v>
          </cell>
          <cell r="F438">
            <v>2009</v>
          </cell>
          <cell r="G438">
            <v>0</v>
          </cell>
          <cell r="H438" t="str">
            <v>National Proceeding</v>
          </cell>
          <cell r="I438" t="str">
            <v>-</v>
          </cell>
        </row>
        <row r="439">
          <cell r="C439" t="str">
            <v>The Influence of a Stack Against The Distribution Of Pressure On The Eco-Friendly Thermoaccoustic Resonator Tube</v>
          </cell>
          <cell r="D439" t="str">
            <v>AFK Affandi Faisal Kurniawan, SR Sigit Ristanto, CH Choirul Huda</v>
          </cell>
          <cell r="E439" t="str">
            <v>The Influence of a Stack Against The Distribution Of Pressure On The Eco …, 0</v>
          </cell>
          <cell r="G439">
            <v>0</v>
          </cell>
          <cell r="H439" t="str">
            <v>National Journal</v>
          </cell>
          <cell r="I439" t="str">
            <v>-</v>
          </cell>
        </row>
      </sheetData>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
  <sheetViews>
    <sheetView workbookViewId="0"/>
  </sheetViews>
  <sheetFormatPr defaultRowHeight="14.5" x14ac:dyDescent="0.35"/>
  <sheetData>
    <row r="1" spans="1:3" x14ac:dyDescent="0.35">
      <c r="A1" t="s">
        <v>0</v>
      </c>
      <c r="B1" t="s">
        <v>1</v>
      </c>
      <c r="C1" t="s">
        <v>2</v>
      </c>
    </row>
    <row r="2" spans="1:3" x14ac:dyDescent="0.35">
      <c r="A2" t="s">
        <v>3</v>
      </c>
      <c r="B2" t="s">
        <v>4</v>
      </c>
      <c r="C2" t="s">
        <v>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7"/>
  <sheetViews>
    <sheetView workbookViewId="0"/>
  </sheetViews>
  <sheetFormatPr defaultRowHeight="14.5" x14ac:dyDescent="0.35"/>
  <sheetData>
    <row r="1" spans="1:8" x14ac:dyDescent="0.35">
      <c r="A1" t="s">
        <v>6</v>
      </c>
      <c r="B1" t="s">
        <v>7</v>
      </c>
      <c r="C1" t="s">
        <v>8</v>
      </c>
      <c r="D1" t="s">
        <v>9</v>
      </c>
      <c r="E1" t="s">
        <v>10</v>
      </c>
      <c r="F1" t="s">
        <v>11</v>
      </c>
      <c r="G1" t="s">
        <v>12</v>
      </c>
      <c r="H1" t="s">
        <v>13</v>
      </c>
    </row>
    <row r="2" spans="1:8" x14ac:dyDescent="0.35">
      <c r="A2">
        <v>1</v>
      </c>
      <c r="B2" t="s">
        <v>14</v>
      </c>
      <c r="C2" t="s">
        <v>15</v>
      </c>
      <c r="D2" t="s">
        <v>16</v>
      </c>
      <c r="E2" t="s">
        <v>17</v>
      </c>
      <c r="F2" t="s">
        <v>18</v>
      </c>
      <c r="G2" t="s">
        <v>19</v>
      </c>
      <c r="H2" t="s">
        <v>20</v>
      </c>
    </row>
    <row r="3" spans="1:8" x14ac:dyDescent="0.35">
      <c r="A3">
        <v>2</v>
      </c>
      <c r="B3" t="s">
        <v>21</v>
      </c>
      <c r="C3" t="s">
        <v>22</v>
      </c>
      <c r="D3" t="s">
        <v>23</v>
      </c>
      <c r="E3" t="s">
        <v>24</v>
      </c>
      <c r="F3" t="s">
        <v>18</v>
      </c>
      <c r="G3" t="s">
        <v>25</v>
      </c>
      <c r="H3" t="s">
        <v>26</v>
      </c>
    </row>
    <row r="4" spans="1:8" x14ac:dyDescent="0.35">
      <c r="A4">
        <v>3</v>
      </c>
      <c r="B4" t="s">
        <v>27</v>
      </c>
      <c r="C4" t="s">
        <v>28</v>
      </c>
      <c r="D4" t="s">
        <v>29</v>
      </c>
      <c r="E4" t="s">
        <v>30</v>
      </c>
      <c r="F4" t="s">
        <v>31</v>
      </c>
      <c r="G4" t="s">
        <v>32</v>
      </c>
    </row>
    <row r="5" spans="1:8" x14ac:dyDescent="0.35">
      <c r="A5">
        <v>4</v>
      </c>
      <c r="B5" t="s">
        <v>33</v>
      </c>
      <c r="C5" t="s">
        <v>34</v>
      </c>
      <c r="D5" t="s">
        <v>35</v>
      </c>
      <c r="E5" t="s">
        <v>36</v>
      </c>
      <c r="F5" t="s">
        <v>18</v>
      </c>
      <c r="G5" t="s">
        <v>37</v>
      </c>
      <c r="H5" t="s">
        <v>38</v>
      </c>
    </row>
    <row r="6" spans="1:8" x14ac:dyDescent="0.35">
      <c r="A6">
        <v>5</v>
      </c>
      <c r="B6" t="s">
        <v>39</v>
      </c>
      <c r="C6" t="s">
        <v>40</v>
      </c>
      <c r="D6" t="s">
        <v>41</v>
      </c>
      <c r="E6" t="s">
        <v>42</v>
      </c>
      <c r="F6" t="s">
        <v>18</v>
      </c>
      <c r="G6" t="s">
        <v>43</v>
      </c>
    </row>
    <row r="7" spans="1:8" x14ac:dyDescent="0.35">
      <c r="A7">
        <v>6</v>
      </c>
      <c r="B7" t="s">
        <v>44</v>
      </c>
      <c r="C7" t="s">
        <v>34</v>
      </c>
      <c r="D7" t="s">
        <v>45</v>
      </c>
      <c r="E7" t="s">
        <v>46</v>
      </c>
      <c r="F7" t="s">
        <v>31</v>
      </c>
      <c r="G7" t="s">
        <v>47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7"/>
  <sheetViews>
    <sheetView workbookViewId="0"/>
  </sheetViews>
  <sheetFormatPr defaultRowHeight="14.5" x14ac:dyDescent="0.35"/>
  <sheetData>
    <row r="1" spans="1:14" x14ac:dyDescent="0.35">
      <c r="A1" t="s">
        <v>6</v>
      </c>
      <c r="B1" t="s">
        <v>7</v>
      </c>
      <c r="C1" t="s">
        <v>48</v>
      </c>
      <c r="D1" t="s">
        <v>49</v>
      </c>
      <c r="E1" t="s">
        <v>50</v>
      </c>
      <c r="F1" t="s">
        <v>51</v>
      </c>
      <c r="G1" t="s">
        <v>52</v>
      </c>
      <c r="H1" t="s">
        <v>8</v>
      </c>
      <c r="I1" t="s">
        <v>53</v>
      </c>
      <c r="J1" t="s">
        <v>12</v>
      </c>
      <c r="K1" t="s">
        <v>54</v>
      </c>
      <c r="L1" t="s">
        <v>13</v>
      </c>
      <c r="M1" t="s">
        <v>55</v>
      </c>
      <c r="N1" t="s">
        <v>56</v>
      </c>
    </row>
    <row r="2" spans="1:14" x14ac:dyDescent="0.35">
      <c r="A2">
        <v>1</v>
      </c>
      <c r="B2" t="s">
        <v>57</v>
      </c>
      <c r="C2" t="s">
        <v>58</v>
      </c>
      <c r="D2">
        <v>5301421001</v>
      </c>
      <c r="E2" t="s">
        <v>59</v>
      </c>
      <c r="F2" t="s">
        <v>60</v>
      </c>
      <c r="G2">
        <v>2021</v>
      </c>
      <c r="H2" t="s">
        <v>61</v>
      </c>
      <c r="I2" t="s">
        <v>62</v>
      </c>
      <c r="J2" t="s">
        <v>63</v>
      </c>
      <c r="K2" t="s">
        <v>64</v>
      </c>
      <c r="L2" t="s">
        <v>65</v>
      </c>
      <c r="N2" t="s">
        <v>66</v>
      </c>
    </row>
    <row r="3" spans="1:14" x14ac:dyDescent="0.35">
      <c r="A3">
        <v>2</v>
      </c>
      <c r="B3" t="s">
        <v>67</v>
      </c>
      <c r="C3" t="s">
        <v>68</v>
      </c>
      <c r="D3">
        <v>5301421042</v>
      </c>
      <c r="E3" t="s">
        <v>69</v>
      </c>
      <c r="F3" t="s">
        <v>60</v>
      </c>
      <c r="G3">
        <v>2021</v>
      </c>
      <c r="H3" t="s">
        <v>70</v>
      </c>
      <c r="I3" t="s">
        <v>71</v>
      </c>
      <c r="J3" t="s">
        <v>43</v>
      </c>
      <c r="K3" t="s">
        <v>64</v>
      </c>
      <c r="L3" t="s">
        <v>72</v>
      </c>
      <c r="N3" t="s">
        <v>73</v>
      </c>
    </row>
    <row r="4" spans="1:14" x14ac:dyDescent="0.35">
      <c r="A4">
        <v>3</v>
      </c>
      <c r="B4" t="s">
        <v>74</v>
      </c>
      <c r="C4" t="s">
        <v>75</v>
      </c>
      <c r="D4">
        <v>5301421078</v>
      </c>
      <c r="E4" t="s">
        <v>76</v>
      </c>
      <c r="F4" t="s">
        <v>60</v>
      </c>
      <c r="G4">
        <v>2021</v>
      </c>
      <c r="H4" t="s">
        <v>77</v>
      </c>
      <c r="I4" t="s">
        <v>78</v>
      </c>
      <c r="J4" t="s">
        <v>19</v>
      </c>
      <c r="K4" t="s">
        <v>64</v>
      </c>
      <c r="L4" t="s">
        <v>79</v>
      </c>
      <c r="M4" t="s">
        <v>80</v>
      </c>
      <c r="N4" t="s">
        <v>81</v>
      </c>
    </row>
    <row r="5" spans="1:14" x14ac:dyDescent="0.35">
      <c r="A5">
        <v>4</v>
      </c>
      <c r="B5" t="s">
        <v>82</v>
      </c>
      <c r="C5" t="s">
        <v>83</v>
      </c>
      <c r="D5">
        <v>5301421115</v>
      </c>
      <c r="E5" t="s">
        <v>84</v>
      </c>
      <c r="F5" t="s">
        <v>85</v>
      </c>
      <c r="G5">
        <v>2020</v>
      </c>
      <c r="H5" t="s">
        <v>61</v>
      </c>
      <c r="I5" t="s">
        <v>86</v>
      </c>
      <c r="J5" t="s">
        <v>87</v>
      </c>
      <c r="K5" t="s">
        <v>64</v>
      </c>
      <c r="L5" t="s">
        <v>88</v>
      </c>
      <c r="N5" t="s">
        <v>89</v>
      </c>
    </row>
    <row r="6" spans="1:14" x14ac:dyDescent="0.35">
      <c r="A6">
        <v>5</v>
      </c>
      <c r="B6" t="s">
        <v>90</v>
      </c>
      <c r="C6" t="s">
        <v>91</v>
      </c>
      <c r="D6">
        <v>5301421156</v>
      </c>
      <c r="E6" t="s">
        <v>92</v>
      </c>
      <c r="F6" t="s">
        <v>85</v>
      </c>
      <c r="G6">
        <v>2020</v>
      </c>
      <c r="H6" t="s">
        <v>93</v>
      </c>
      <c r="I6" t="s">
        <v>94</v>
      </c>
      <c r="J6" t="s">
        <v>37</v>
      </c>
      <c r="K6" t="s">
        <v>64</v>
      </c>
      <c r="N6" t="s">
        <v>95</v>
      </c>
    </row>
    <row r="7" spans="1:14" x14ac:dyDescent="0.35">
      <c r="A7">
        <v>6</v>
      </c>
      <c r="B7" t="s">
        <v>96</v>
      </c>
      <c r="C7" t="s">
        <v>97</v>
      </c>
      <c r="D7">
        <v>5301421189</v>
      </c>
      <c r="E7" t="s">
        <v>98</v>
      </c>
      <c r="F7" t="s">
        <v>85</v>
      </c>
      <c r="G7">
        <v>2020</v>
      </c>
      <c r="H7" t="s">
        <v>99</v>
      </c>
      <c r="I7" t="s">
        <v>100</v>
      </c>
      <c r="J7" t="s">
        <v>101</v>
      </c>
      <c r="K7" t="s">
        <v>64</v>
      </c>
      <c r="L7" t="s">
        <v>102</v>
      </c>
      <c r="N7" t="s">
        <v>103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9"/>
  <sheetViews>
    <sheetView workbookViewId="0"/>
  </sheetViews>
  <sheetFormatPr defaultRowHeight="14.5" x14ac:dyDescent="0.35"/>
  <sheetData>
    <row r="1" spans="1:12" x14ac:dyDescent="0.35">
      <c r="A1" t="s">
        <v>6</v>
      </c>
      <c r="B1" t="s">
        <v>104</v>
      </c>
      <c r="C1" t="s">
        <v>105</v>
      </c>
      <c r="D1" t="s">
        <v>106</v>
      </c>
      <c r="E1" t="s">
        <v>107</v>
      </c>
      <c r="F1" t="s">
        <v>108</v>
      </c>
      <c r="G1" t="s">
        <v>109</v>
      </c>
      <c r="H1" t="s">
        <v>110</v>
      </c>
      <c r="I1" t="s">
        <v>111</v>
      </c>
      <c r="J1" t="s">
        <v>112</v>
      </c>
      <c r="K1" t="s">
        <v>113</v>
      </c>
      <c r="L1" t="s">
        <v>8</v>
      </c>
    </row>
    <row r="2" spans="1:12" x14ac:dyDescent="0.35">
      <c r="A2">
        <v>1</v>
      </c>
      <c r="B2" t="s">
        <v>114</v>
      </c>
      <c r="C2">
        <v>619047301</v>
      </c>
      <c r="D2" t="s">
        <v>115</v>
      </c>
      <c r="E2" t="s">
        <v>116</v>
      </c>
      <c r="F2" t="s">
        <v>117</v>
      </c>
      <c r="G2" t="s">
        <v>118</v>
      </c>
      <c r="H2" t="s">
        <v>119</v>
      </c>
      <c r="I2" t="s">
        <v>120</v>
      </c>
      <c r="J2" t="s">
        <v>121</v>
      </c>
      <c r="L2" t="s">
        <v>122</v>
      </c>
    </row>
    <row r="3" spans="1:12" x14ac:dyDescent="0.35">
      <c r="A3">
        <v>2</v>
      </c>
      <c r="B3" t="s">
        <v>123</v>
      </c>
      <c r="C3">
        <v>627046102</v>
      </c>
      <c r="D3" t="s">
        <v>115</v>
      </c>
      <c r="E3" t="s">
        <v>124</v>
      </c>
      <c r="F3" t="s">
        <v>125</v>
      </c>
      <c r="G3" t="s">
        <v>126</v>
      </c>
      <c r="H3" t="s">
        <v>127</v>
      </c>
      <c r="I3" t="s">
        <v>128</v>
      </c>
      <c r="J3" t="s">
        <v>129</v>
      </c>
      <c r="L3" t="s">
        <v>122</v>
      </c>
    </row>
    <row r="4" spans="1:12" x14ac:dyDescent="0.35">
      <c r="A4">
        <v>3</v>
      </c>
      <c r="B4" t="s">
        <v>130</v>
      </c>
      <c r="C4">
        <v>621078403</v>
      </c>
      <c r="D4" t="s">
        <v>115</v>
      </c>
      <c r="E4" t="s">
        <v>131</v>
      </c>
      <c r="F4" t="s">
        <v>132</v>
      </c>
      <c r="H4" t="s">
        <v>133</v>
      </c>
      <c r="I4" t="s">
        <v>134</v>
      </c>
      <c r="J4" t="s">
        <v>135</v>
      </c>
      <c r="L4" t="s">
        <v>122</v>
      </c>
    </row>
    <row r="5" spans="1:12" x14ac:dyDescent="0.35">
      <c r="A5">
        <v>4</v>
      </c>
      <c r="B5" t="s">
        <v>136</v>
      </c>
      <c r="C5">
        <v>603048001</v>
      </c>
      <c r="D5" t="s">
        <v>115</v>
      </c>
      <c r="E5" t="s">
        <v>137</v>
      </c>
      <c r="F5" t="s">
        <v>138</v>
      </c>
      <c r="G5" t="s">
        <v>139</v>
      </c>
      <c r="H5" t="s">
        <v>133</v>
      </c>
      <c r="I5" t="s">
        <v>140</v>
      </c>
      <c r="J5" t="s">
        <v>141</v>
      </c>
      <c r="L5" t="s">
        <v>122</v>
      </c>
    </row>
    <row r="6" spans="1:12" x14ac:dyDescent="0.35">
      <c r="A6">
        <v>5</v>
      </c>
      <c r="B6" t="s">
        <v>142</v>
      </c>
      <c r="C6">
        <v>609067602</v>
      </c>
      <c r="D6" t="s">
        <v>143</v>
      </c>
      <c r="E6" t="s">
        <v>144</v>
      </c>
      <c r="F6" t="s">
        <v>145</v>
      </c>
      <c r="G6" t="s">
        <v>146</v>
      </c>
      <c r="H6" t="s">
        <v>147</v>
      </c>
      <c r="I6" t="s">
        <v>148</v>
      </c>
      <c r="J6" t="s">
        <v>149</v>
      </c>
      <c r="L6" t="s">
        <v>122</v>
      </c>
    </row>
    <row r="7" spans="1:12" x14ac:dyDescent="0.35">
      <c r="A7">
        <v>6</v>
      </c>
      <c r="B7" t="s">
        <v>150</v>
      </c>
      <c r="C7">
        <v>610018401</v>
      </c>
      <c r="D7" t="s">
        <v>143</v>
      </c>
      <c r="E7" t="s">
        <v>151</v>
      </c>
      <c r="F7" t="s">
        <v>152</v>
      </c>
      <c r="G7" t="s">
        <v>153</v>
      </c>
      <c r="I7" t="s">
        <v>154</v>
      </c>
      <c r="J7" t="s">
        <v>155</v>
      </c>
      <c r="L7" t="s">
        <v>122</v>
      </c>
    </row>
    <row r="8" spans="1:12" x14ac:dyDescent="0.35">
      <c r="A8">
        <v>7</v>
      </c>
      <c r="B8" t="s">
        <v>156</v>
      </c>
      <c r="C8">
        <v>603098102</v>
      </c>
      <c r="D8" t="s">
        <v>115</v>
      </c>
      <c r="E8" t="s">
        <v>157</v>
      </c>
      <c r="G8" t="s">
        <v>158</v>
      </c>
      <c r="H8" t="s">
        <v>147</v>
      </c>
      <c r="I8" t="s">
        <v>159</v>
      </c>
      <c r="J8" t="s">
        <v>160</v>
      </c>
      <c r="L8" t="s">
        <v>122</v>
      </c>
    </row>
    <row r="9" spans="1:12" x14ac:dyDescent="0.35">
      <c r="A9">
        <v>8</v>
      </c>
      <c r="B9" t="s">
        <v>161</v>
      </c>
      <c r="C9">
        <v>608108204</v>
      </c>
      <c r="D9" t="s">
        <v>162</v>
      </c>
      <c r="E9" t="s">
        <v>163</v>
      </c>
      <c r="F9" t="s">
        <v>164</v>
      </c>
      <c r="G9" t="s">
        <v>165</v>
      </c>
      <c r="I9" t="s">
        <v>166</v>
      </c>
      <c r="J9" t="s">
        <v>167</v>
      </c>
      <c r="L9" t="s">
        <v>122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40"/>
  <sheetViews>
    <sheetView workbookViewId="0"/>
  </sheetViews>
  <sheetFormatPr defaultRowHeight="14.5" x14ac:dyDescent="0.35"/>
  <sheetData>
    <row r="1" spans="1:7" x14ac:dyDescent="0.35">
      <c r="A1" t="s">
        <v>6</v>
      </c>
      <c r="B1" t="s">
        <v>168</v>
      </c>
      <c r="C1" t="s">
        <v>104</v>
      </c>
      <c r="D1" t="s">
        <v>169</v>
      </c>
      <c r="E1" t="s">
        <v>170</v>
      </c>
      <c r="F1" t="s">
        <v>171</v>
      </c>
      <c r="G1" t="s">
        <v>172</v>
      </c>
    </row>
    <row r="2" spans="1:7" x14ac:dyDescent="0.35">
      <c r="A2">
        <v>1</v>
      </c>
      <c r="B2">
        <v>6625332615</v>
      </c>
      <c r="C2" t="s">
        <v>173</v>
      </c>
      <c r="D2">
        <v>3</v>
      </c>
      <c r="E2">
        <v>1</v>
      </c>
      <c r="F2" t="s">
        <v>174</v>
      </c>
      <c r="G2">
        <v>1</v>
      </c>
    </row>
    <row r="3" spans="1:7" x14ac:dyDescent="0.35">
      <c r="A3">
        <v>2</v>
      </c>
      <c r="B3">
        <v>6625331620</v>
      </c>
      <c r="C3" t="s">
        <v>175</v>
      </c>
      <c r="D3">
        <v>3</v>
      </c>
      <c r="E3">
        <v>1</v>
      </c>
      <c r="F3" t="s">
        <v>174</v>
      </c>
      <c r="G3">
        <v>1</v>
      </c>
    </row>
    <row r="4" spans="1:7" x14ac:dyDescent="0.35">
      <c r="A4">
        <v>3</v>
      </c>
      <c r="B4">
        <v>6625332616</v>
      </c>
      <c r="C4" t="s">
        <v>176</v>
      </c>
      <c r="D4">
        <v>3</v>
      </c>
      <c r="E4">
        <v>2</v>
      </c>
      <c r="F4" t="s">
        <v>174</v>
      </c>
      <c r="G4">
        <v>2</v>
      </c>
    </row>
    <row r="5" spans="1:7" x14ac:dyDescent="0.35">
      <c r="A5">
        <v>4</v>
      </c>
      <c r="B5">
        <v>6625331635</v>
      </c>
      <c r="C5" t="s">
        <v>177</v>
      </c>
      <c r="D5">
        <v>3</v>
      </c>
      <c r="E5">
        <v>3</v>
      </c>
      <c r="F5" t="s">
        <v>174</v>
      </c>
      <c r="G5">
        <v>3</v>
      </c>
    </row>
    <row r="6" spans="1:7" x14ac:dyDescent="0.35">
      <c r="A6">
        <v>5</v>
      </c>
      <c r="B6">
        <v>6625331617</v>
      </c>
      <c r="C6" t="s">
        <v>178</v>
      </c>
      <c r="D6">
        <v>3</v>
      </c>
      <c r="E6">
        <v>3</v>
      </c>
      <c r="F6" t="s">
        <v>174</v>
      </c>
      <c r="G6">
        <v>3</v>
      </c>
    </row>
    <row r="7" spans="1:7" x14ac:dyDescent="0.35">
      <c r="A7">
        <v>6</v>
      </c>
      <c r="B7">
        <v>6625332650</v>
      </c>
      <c r="C7" t="s">
        <v>179</v>
      </c>
      <c r="D7">
        <v>3</v>
      </c>
      <c r="E7">
        <v>3</v>
      </c>
      <c r="F7" t="s">
        <v>180</v>
      </c>
      <c r="G7">
        <v>3</v>
      </c>
    </row>
    <row r="8" spans="1:7" x14ac:dyDescent="0.35">
      <c r="A8">
        <v>7</v>
      </c>
      <c r="B8">
        <v>6625431653</v>
      </c>
      <c r="C8" t="s">
        <v>181</v>
      </c>
      <c r="D8">
        <v>3</v>
      </c>
      <c r="E8">
        <v>3</v>
      </c>
      <c r="F8" t="s">
        <v>180</v>
      </c>
      <c r="G8">
        <v>3</v>
      </c>
    </row>
    <row r="9" spans="1:7" x14ac:dyDescent="0.35">
      <c r="A9">
        <v>8</v>
      </c>
      <c r="B9">
        <v>6625332610</v>
      </c>
      <c r="C9" t="s">
        <v>182</v>
      </c>
      <c r="D9">
        <v>3</v>
      </c>
      <c r="E9">
        <v>4</v>
      </c>
      <c r="F9" t="s">
        <v>180</v>
      </c>
      <c r="G9">
        <v>4</v>
      </c>
    </row>
    <row r="10" spans="1:7" x14ac:dyDescent="0.35">
      <c r="A10">
        <v>9</v>
      </c>
      <c r="B10">
        <v>6625331618</v>
      </c>
      <c r="C10" t="s">
        <v>183</v>
      </c>
      <c r="D10">
        <v>3</v>
      </c>
      <c r="E10">
        <v>4</v>
      </c>
      <c r="F10" t="s">
        <v>180</v>
      </c>
      <c r="G10">
        <v>4</v>
      </c>
    </row>
    <row r="11" spans="1:7" x14ac:dyDescent="0.35">
      <c r="A11">
        <v>10</v>
      </c>
      <c r="B11">
        <v>6625232625</v>
      </c>
      <c r="C11" t="s">
        <v>184</v>
      </c>
      <c r="D11">
        <v>3</v>
      </c>
      <c r="E11">
        <v>4</v>
      </c>
      <c r="F11" t="s">
        <v>180</v>
      </c>
      <c r="G11">
        <v>4</v>
      </c>
    </row>
    <row r="12" spans="1:7" x14ac:dyDescent="0.35">
      <c r="A12">
        <v>11</v>
      </c>
      <c r="B12">
        <v>6625331634</v>
      </c>
      <c r="C12" t="s">
        <v>185</v>
      </c>
      <c r="D12">
        <v>3</v>
      </c>
      <c r="E12">
        <v>4</v>
      </c>
      <c r="F12" t="s">
        <v>180</v>
      </c>
      <c r="G12">
        <v>4</v>
      </c>
    </row>
    <row r="13" spans="1:7" x14ac:dyDescent="0.35">
      <c r="A13">
        <v>12</v>
      </c>
      <c r="B13">
        <v>6625131657</v>
      </c>
      <c r="C13" t="s">
        <v>186</v>
      </c>
      <c r="D13">
        <v>3</v>
      </c>
      <c r="E13">
        <v>4</v>
      </c>
      <c r="F13" t="s">
        <v>180</v>
      </c>
      <c r="G13">
        <v>4</v>
      </c>
    </row>
    <row r="14" spans="1:7" x14ac:dyDescent="0.35">
      <c r="A14">
        <v>13</v>
      </c>
      <c r="B14">
        <v>6625131660</v>
      </c>
      <c r="C14" t="s">
        <v>187</v>
      </c>
      <c r="D14">
        <v>3</v>
      </c>
      <c r="E14">
        <v>4</v>
      </c>
      <c r="F14" t="s">
        <v>180</v>
      </c>
      <c r="G14">
        <v>4</v>
      </c>
    </row>
    <row r="15" spans="1:7" x14ac:dyDescent="0.35">
      <c r="A15">
        <v>14</v>
      </c>
      <c r="B15">
        <v>6625331636</v>
      </c>
      <c r="C15" t="s">
        <v>188</v>
      </c>
      <c r="D15">
        <v>3</v>
      </c>
      <c r="E15">
        <v>4</v>
      </c>
      <c r="F15" t="s">
        <v>174</v>
      </c>
      <c r="G15">
        <v>4</v>
      </c>
    </row>
    <row r="16" spans="1:7" x14ac:dyDescent="0.35">
      <c r="A16">
        <v>15</v>
      </c>
      <c r="B16">
        <v>6625332606</v>
      </c>
      <c r="C16" t="s">
        <v>189</v>
      </c>
      <c r="D16">
        <v>3</v>
      </c>
      <c r="E16">
        <v>5</v>
      </c>
      <c r="F16" t="s">
        <v>180</v>
      </c>
      <c r="G16">
        <v>5</v>
      </c>
    </row>
    <row r="17" spans="1:7" x14ac:dyDescent="0.35">
      <c r="A17">
        <v>16</v>
      </c>
      <c r="B17">
        <v>6625221622</v>
      </c>
      <c r="C17" t="s">
        <v>190</v>
      </c>
      <c r="D17">
        <v>2</v>
      </c>
      <c r="E17">
        <v>5</v>
      </c>
      <c r="F17" t="s">
        <v>191</v>
      </c>
      <c r="G17">
        <v>5</v>
      </c>
    </row>
    <row r="18" spans="1:7" x14ac:dyDescent="0.35">
      <c r="A18">
        <v>17</v>
      </c>
      <c r="B18">
        <v>6625322626</v>
      </c>
      <c r="C18" t="s">
        <v>192</v>
      </c>
      <c r="D18">
        <v>2</v>
      </c>
      <c r="E18">
        <v>5</v>
      </c>
      <c r="F18" t="s">
        <v>180</v>
      </c>
      <c r="G18">
        <v>5</v>
      </c>
    </row>
    <row r="19" spans="1:7" x14ac:dyDescent="0.35">
      <c r="A19">
        <v>18</v>
      </c>
      <c r="B19">
        <v>6625324628</v>
      </c>
      <c r="C19" t="s">
        <v>193</v>
      </c>
      <c r="D19">
        <v>2</v>
      </c>
      <c r="E19">
        <v>5</v>
      </c>
      <c r="F19" t="s">
        <v>180</v>
      </c>
      <c r="G19">
        <v>5</v>
      </c>
    </row>
    <row r="20" spans="1:7" x14ac:dyDescent="0.35">
      <c r="A20">
        <v>19</v>
      </c>
      <c r="B20">
        <v>6625332630</v>
      </c>
      <c r="C20" t="s">
        <v>194</v>
      </c>
      <c r="D20">
        <v>3</v>
      </c>
      <c r="E20">
        <v>5</v>
      </c>
      <c r="F20" t="s">
        <v>180</v>
      </c>
      <c r="G20">
        <v>5</v>
      </c>
    </row>
    <row r="21" spans="1:7" x14ac:dyDescent="0.35">
      <c r="A21">
        <v>20</v>
      </c>
      <c r="B21">
        <v>6625331649</v>
      </c>
      <c r="C21" t="s">
        <v>195</v>
      </c>
      <c r="D21">
        <v>3</v>
      </c>
      <c r="E21">
        <v>5</v>
      </c>
      <c r="F21" t="s">
        <v>180</v>
      </c>
      <c r="G21">
        <v>5</v>
      </c>
    </row>
    <row r="22" spans="1:7" x14ac:dyDescent="0.35">
      <c r="A22">
        <v>21</v>
      </c>
      <c r="B22">
        <v>6625331656</v>
      </c>
      <c r="C22" t="s">
        <v>196</v>
      </c>
      <c r="D22">
        <v>3</v>
      </c>
      <c r="E22">
        <v>5</v>
      </c>
      <c r="F22" t="s">
        <v>180</v>
      </c>
      <c r="G22">
        <v>5</v>
      </c>
    </row>
    <row r="23" spans="1:7" x14ac:dyDescent="0.35">
      <c r="A23">
        <v>22</v>
      </c>
      <c r="B23">
        <v>6625221605</v>
      </c>
      <c r="C23" t="s">
        <v>197</v>
      </c>
      <c r="D23">
        <v>2</v>
      </c>
      <c r="E23">
        <v>6</v>
      </c>
      <c r="F23" t="s">
        <v>191</v>
      </c>
      <c r="G23">
        <v>6</v>
      </c>
    </row>
    <row r="24" spans="1:7" x14ac:dyDescent="0.35">
      <c r="A24">
        <v>23</v>
      </c>
      <c r="B24">
        <v>6625332612</v>
      </c>
      <c r="C24" t="s">
        <v>198</v>
      </c>
      <c r="D24">
        <v>3</v>
      </c>
      <c r="E24">
        <v>6</v>
      </c>
      <c r="F24" t="s">
        <v>180</v>
      </c>
      <c r="G24">
        <v>6</v>
      </c>
    </row>
    <row r="25" spans="1:7" x14ac:dyDescent="0.35">
      <c r="A25">
        <v>24</v>
      </c>
      <c r="B25">
        <v>6625321614</v>
      </c>
      <c r="C25" t="s">
        <v>199</v>
      </c>
      <c r="D25">
        <v>2</v>
      </c>
      <c r="E25">
        <v>6</v>
      </c>
      <c r="F25" t="s">
        <v>180</v>
      </c>
      <c r="G25">
        <v>6</v>
      </c>
    </row>
    <row r="26" spans="1:7" x14ac:dyDescent="0.35">
      <c r="A26">
        <v>25</v>
      </c>
      <c r="B26">
        <v>6625332623</v>
      </c>
      <c r="C26" t="s">
        <v>200</v>
      </c>
      <c r="D26">
        <v>3</v>
      </c>
      <c r="E26">
        <v>6</v>
      </c>
      <c r="F26" t="s">
        <v>180</v>
      </c>
      <c r="G26">
        <v>6</v>
      </c>
    </row>
    <row r="27" spans="1:7" x14ac:dyDescent="0.35">
      <c r="A27">
        <v>26</v>
      </c>
      <c r="B27">
        <v>6625241624</v>
      </c>
      <c r="C27" t="s">
        <v>201</v>
      </c>
      <c r="D27">
        <v>4</v>
      </c>
      <c r="E27">
        <v>6</v>
      </c>
      <c r="F27" t="s">
        <v>180</v>
      </c>
      <c r="G27">
        <v>6</v>
      </c>
    </row>
    <row r="28" spans="1:7" x14ac:dyDescent="0.35">
      <c r="A28">
        <v>27</v>
      </c>
      <c r="B28">
        <v>6625321633</v>
      </c>
      <c r="C28" t="s">
        <v>202</v>
      </c>
      <c r="D28">
        <v>2</v>
      </c>
      <c r="E28">
        <v>6</v>
      </c>
      <c r="F28" t="s">
        <v>180</v>
      </c>
      <c r="G28">
        <v>6</v>
      </c>
    </row>
    <row r="29" spans="1:7" x14ac:dyDescent="0.35">
      <c r="A29">
        <v>28</v>
      </c>
      <c r="B29">
        <v>6625321647</v>
      </c>
      <c r="C29" t="s">
        <v>203</v>
      </c>
      <c r="D29">
        <v>2</v>
      </c>
      <c r="E29">
        <v>6</v>
      </c>
      <c r="F29" t="s">
        <v>191</v>
      </c>
      <c r="G29">
        <v>6</v>
      </c>
    </row>
    <row r="30" spans="1:7" x14ac:dyDescent="0.35">
      <c r="A30">
        <v>29</v>
      </c>
      <c r="B30">
        <v>6625332651</v>
      </c>
      <c r="C30" t="s">
        <v>204</v>
      </c>
      <c r="D30">
        <v>3</v>
      </c>
      <c r="E30">
        <v>6</v>
      </c>
      <c r="F30" t="s">
        <v>180</v>
      </c>
      <c r="G30">
        <v>6</v>
      </c>
    </row>
    <row r="31" spans="1:7" x14ac:dyDescent="0.35">
      <c r="A31">
        <v>30</v>
      </c>
      <c r="B31">
        <v>6625322603</v>
      </c>
      <c r="C31" t="s">
        <v>205</v>
      </c>
      <c r="D31">
        <v>3</v>
      </c>
      <c r="E31">
        <v>7</v>
      </c>
      <c r="F31" t="s">
        <v>180</v>
      </c>
      <c r="G31">
        <v>7</v>
      </c>
    </row>
    <row r="32" spans="1:7" x14ac:dyDescent="0.35">
      <c r="A32">
        <v>31</v>
      </c>
      <c r="B32">
        <v>6625421613</v>
      </c>
      <c r="C32" t="s">
        <v>206</v>
      </c>
      <c r="D32">
        <v>2</v>
      </c>
      <c r="E32">
        <v>7</v>
      </c>
      <c r="F32" t="s">
        <v>180</v>
      </c>
      <c r="G32">
        <v>7</v>
      </c>
    </row>
    <row r="33" spans="1:7" x14ac:dyDescent="0.35">
      <c r="A33">
        <v>32</v>
      </c>
      <c r="B33">
        <v>6625422627</v>
      </c>
      <c r="C33" t="s">
        <v>153</v>
      </c>
      <c r="D33">
        <v>2</v>
      </c>
      <c r="E33">
        <v>7</v>
      </c>
      <c r="F33" t="s">
        <v>180</v>
      </c>
      <c r="G33">
        <v>7</v>
      </c>
    </row>
    <row r="34" spans="1:7" x14ac:dyDescent="0.35">
      <c r="A34">
        <v>33</v>
      </c>
      <c r="B34">
        <v>6625421631</v>
      </c>
      <c r="C34" t="s">
        <v>207</v>
      </c>
      <c r="D34">
        <v>2</v>
      </c>
      <c r="E34">
        <v>7</v>
      </c>
      <c r="F34" t="s">
        <v>180</v>
      </c>
      <c r="G34">
        <v>7</v>
      </c>
    </row>
    <row r="35" spans="1:7" x14ac:dyDescent="0.35">
      <c r="A35">
        <v>34</v>
      </c>
      <c r="B35">
        <v>6625421632</v>
      </c>
      <c r="C35" t="s">
        <v>208</v>
      </c>
      <c r="D35">
        <v>2</v>
      </c>
      <c r="E35">
        <v>7</v>
      </c>
      <c r="F35" t="s">
        <v>180</v>
      </c>
      <c r="G35">
        <v>7</v>
      </c>
    </row>
    <row r="36" spans="1:7" x14ac:dyDescent="0.35">
      <c r="A36">
        <v>35</v>
      </c>
      <c r="B36">
        <v>6625322648</v>
      </c>
      <c r="C36" t="s">
        <v>209</v>
      </c>
      <c r="D36">
        <v>2</v>
      </c>
      <c r="E36">
        <v>7</v>
      </c>
      <c r="F36" t="s">
        <v>180</v>
      </c>
      <c r="G36">
        <v>7</v>
      </c>
    </row>
    <row r="37" spans="1:7" x14ac:dyDescent="0.35">
      <c r="A37">
        <v>36</v>
      </c>
      <c r="B37">
        <v>6625745652</v>
      </c>
      <c r="C37" t="s">
        <v>210</v>
      </c>
      <c r="D37">
        <v>4</v>
      </c>
      <c r="E37">
        <v>7</v>
      </c>
      <c r="F37" t="s">
        <v>180</v>
      </c>
      <c r="G37">
        <v>7</v>
      </c>
    </row>
    <row r="38" spans="1:7" x14ac:dyDescent="0.35">
      <c r="A38">
        <v>37</v>
      </c>
      <c r="B38">
        <v>6625321638</v>
      </c>
      <c r="C38" t="s">
        <v>211</v>
      </c>
      <c r="D38">
        <v>2</v>
      </c>
      <c r="E38">
        <v>7</v>
      </c>
      <c r="F38" t="s">
        <v>174</v>
      </c>
      <c r="G38">
        <v>7</v>
      </c>
    </row>
    <row r="39" spans="1:7" x14ac:dyDescent="0.35">
      <c r="A39">
        <v>38</v>
      </c>
      <c r="B39">
        <v>6625244629</v>
      </c>
      <c r="C39" t="s">
        <v>212</v>
      </c>
      <c r="D39">
        <v>4</v>
      </c>
      <c r="E39">
        <v>8</v>
      </c>
      <c r="F39" t="s">
        <v>191</v>
      </c>
      <c r="G39">
        <v>8</v>
      </c>
    </row>
    <row r="40" spans="1:7" x14ac:dyDescent="0.35">
      <c r="A40">
        <v>39</v>
      </c>
      <c r="B40">
        <v>6625765661</v>
      </c>
      <c r="C40" t="s">
        <v>213</v>
      </c>
      <c r="D40">
        <v>6</v>
      </c>
      <c r="E40">
        <v>8</v>
      </c>
      <c r="F40" t="s">
        <v>180</v>
      </c>
      <c r="G40">
        <v>8</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3"/>
  <sheetViews>
    <sheetView workbookViewId="0"/>
  </sheetViews>
  <sheetFormatPr defaultRowHeight="14.5" x14ac:dyDescent="0.35"/>
  <sheetData>
    <row r="1" spans="1:5" x14ac:dyDescent="0.35">
      <c r="A1" t="s">
        <v>6</v>
      </c>
      <c r="B1" t="s">
        <v>104</v>
      </c>
      <c r="C1" t="s">
        <v>214</v>
      </c>
      <c r="D1" t="s">
        <v>7</v>
      </c>
      <c r="E1" t="s">
        <v>215</v>
      </c>
    </row>
    <row r="2" spans="1:5" x14ac:dyDescent="0.35">
      <c r="A2">
        <v>1</v>
      </c>
      <c r="B2" t="s">
        <v>216</v>
      </c>
      <c r="C2" t="s">
        <v>217</v>
      </c>
      <c r="D2" t="s">
        <v>218</v>
      </c>
      <c r="E2" t="s">
        <v>219</v>
      </c>
    </row>
    <row r="3" spans="1:5" x14ac:dyDescent="0.35">
      <c r="A3">
        <v>2</v>
      </c>
      <c r="B3" t="s">
        <v>220</v>
      </c>
      <c r="C3" t="s">
        <v>221</v>
      </c>
      <c r="D3" t="s">
        <v>222</v>
      </c>
      <c r="E3" t="s">
        <v>223</v>
      </c>
    </row>
    <row r="4" spans="1:5" x14ac:dyDescent="0.35">
      <c r="A4">
        <v>3</v>
      </c>
      <c r="B4" t="s">
        <v>224</v>
      </c>
      <c r="C4" t="s">
        <v>221</v>
      </c>
      <c r="D4" t="s">
        <v>218</v>
      </c>
      <c r="E4" t="s">
        <v>223</v>
      </c>
    </row>
    <row r="5" spans="1:5" x14ac:dyDescent="0.35">
      <c r="A5">
        <v>4</v>
      </c>
      <c r="B5" t="s">
        <v>225</v>
      </c>
      <c r="C5" t="s">
        <v>226</v>
      </c>
      <c r="D5" t="s">
        <v>222</v>
      </c>
      <c r="E5" t="s">
        <v>223</v>
      </c>
    </row>
    <row r="6" spans="1:5" x14ac:dyDescent="0.35">
      <c r="A6">
        <v>5</v>
      </c>
      <c r="B6" t="s">
        <v>227</v>
      </c>
      <c r="C6" t="s">
        <v>34</v>
      </c>
      <c r="D6" t="s">
        <v>228</v>
      </c>
      <c r="E6" t="s">
        <v>229</v>
      </c>
    </row>
    <row r="7" spans="1:5" x14ac:dyDescent="0.35">
      <c r="A7">
        <v>6</v>
      </c>
      <c r="B7" t="s">
        <v>230</v>
      </c>
      <c r="C7" t="s">
        <v>217</v>
      </c>
      <c r="D7" t="s">
        <v>218</v>
      </c>
      <c r="E7" t="s">
        <v>223</v>
      </c>
    </row>
    <row r="8" spans="1:5" x14ac:dyDescent="0.35">
      <c r="A8">
        <v>7</v>
      </c>
      <c r="B8" t="s">
        <v>231</v>
      </c>
      <c r="C8" t="s">
        <v>232</v>
      </c>
      <c r="D8" t="s">
        <v>233</v>
      </c>
      <c r="E8" t="s">
        <v>219</v>
      </c>
    </row>
    <row r="9" spans="1:5" x14ac:dyDescent="0.35">
      <c r="A9">
        <v>8</v>
      </c>
      <c r="B9" t="s">
        <v>234</v>
      </c>
      <c r="C9" t="s">
        <v>34</v>
      </c>
      <c r="D9" t="s">
        <v>235</v>
      </c>
      <c r="E9" t="s">
        <v>229</v>
      </c>
    </row>
    <row r="10" spans="1:5" x14ac:dyDescent="0.35">
      <c r="A10">
        <v>9</v>
      </c>
      <c r="B10" t="s">
        <v>236</v>
      </c>
      <c r="C10" t="s">
        <v>34</v>
      </c>
      <c r="D10" t="s">
        <v>235</v>
      </c>
      <c r="E10" t="s">
        <v>229</v>
      </c>
    </row>
    <row r="11" spans="1:5" x14ac:dyDescent="0.35">
      <c r="A11">
        <v>10</v>
      </c>
      <c r="B11" t="s">
        <v>237</v>
      </c>
      <c r="C11" t="s">
        <v>232</v>
      </c>
      <c r="D11" t="s">
        <v>218</v>
      </c>
      <c r="E11" t="s">
        <v>229</v>
      </c>
    </row>
    <row r="12" spans="1:5" x14ac:dyDescent="0.35">
      <c r="A12">
        <v>11</v>
      </c>
      <c r="B12" t="s">
        <v>238</v>
      </c>
      <c r="C12" t="s">
        <v>239</v>
      </c>
      <c r="D12" t="s">
        <v>228</v>
      </c>
      <c r="E12" t="s">
        <v>223</v>
      </c>
    </row>
    <row r="13" spans="1:5" x14ac:dyDescent="0.35">
      <c r="A13">
        <v>12</v>
      </c>
      <c r="B13" t="s">
        <v>240</v>
      </c>
      <c r="C13" t="s">
        <v>239</v>
      </c>
      <c r="D13" t="s">
        <v>241</v>
      </c>
      <c r="E13" t="s">
        <v>223</v>
      </c>
    </row>
    <row r="14" spans="1:5" x14ac:dyDescent="0.35">
      <c r="A14">
        <v>13</v>
      </c>
      <c r="B14" t="s">
        <v>242</v>
      </c>
      <c r="C14" t="s">
        <v>243</v>
      </c>
      <c r="D14" t="s">
        <v>228</v>
      </c>
      <c r="E14" t="s">
        <v>219</v>
      </c>
    </row>
    <row r="15" spans="1:5" x14ac:dyDescent="0.35">
      <c r="A15">
        <v>14</v>
      </c>
      <c r="B15" t="s">
        <v>244</v>
      </c>
      <c r="C15" t="s">
        <v>221</v>
      </c>
      <c r="D15" t="s">
        <v>218</v>
      </c>
      <c r="E15" t="s">
        <v>223</v>
      </c>
    </row>
    <row r="16" spans="1:5" x14ac:dyDescent="0.35">
      <c r="A16">
        <v>15</v>
      </c>
      <c r="B16" t="s">
        <v>245</v>
      </c>
      <c r="C16" t="s">
        <v>34</v>
      </c>
      <c r="D16" t="s">
        <v>246</v>
      </c>
      <c r="E16" t="s">
        <v>229</v>
      </c>
    </row>
    <row r="17" spans="1:5" x14ac:dyDescent="0.35">
      <c r="A17">
        <v>16</v>
      </c>
      <c r="B17" t="s">
        <v>247</v>
      </c>
      <c r="C17" t="s">
        <v>221</v>
      </c>
      <c r="D17" t="s">
        <v>218</v>
      </c>
      <c r="E17" t="s">
        <v>219</v>
      </c>
    </row>
    <row r="18" spans="1:5" x14ac:dyDescent="0.35">
      <c r="A18">
        <v>17</v>
      </c>
      <c r="B18" t="s">
        <v>248</v>
      </c>
      <c r="C18" t="s">
        <v>221</v>
      </c>
      <c r="D18" t="s">
        <v>218</v>
      </c>
      <c r="E18" t="s">
        <v>219</v>
      </c>
    </row>
    <row r="19" spans="1:5" x14ac:dyDescent="0.35">
      <c r="A19">
        <v>18</v>
      </c>
      <c r="B19" t="s">
        <v>249</v>
      </c>
      <c r="C19" t="s">
        <v>34</v>
      </c>
      <c r="D19" t="s">
        <v>250</v>
      </c>
      <c r="E19" t="s">
        <v>229</v>
      </c>
    </row>
    <row r="20" spans="1:5" x14ac:dyDescent="0.35">
      <c r="A20">
        <v>19</v>
      </c>
      <c r="B20" t="s">
        <v>251</v>
      </c>
      <c r="C20" t="s">
        <v>34</v>
      </c>
      <c r="D20" t="s">
        <v>235</v>
      </c>
      <c r="E20" t="s">
        <v>229</v>
      </c>
    </row>
    <row r="21" spans="1:5" x14ac:dyDescent="0.35">
      <c r="A21">
        <v>20</v>
      </c>
      <c r="B21" t="s">
        <v>224</v>
      </c>
      <c r="C21" t="s">
        <v>221</v>
      </c>
      <c r="D21" t="s">
        <v>218</v>
      </c>
      <c r="E21" t="s">
        <v>219</v>
      </c>
    </row>
    <row r="22" spans="1:5" x14ac:dyDescent="0.35">
      <c r="A22">
        <v>21</v>
      </c>
      <c r="B22" t="s">
        <v>252</v>
      </c>
      <c r="C22" t="s">
        <v>221</v>
      </c>
      <c r="D22" t="s">
        <v>253</v>
      </c>
      <c r="E22" t="s">
        <v>219</v>
      </c>
    </row>
    <row r="23" spans="1:5" x14ac:dyDescent="0.35">
      <c r="A23">
        <v>22</v>
      </c>
      <c r="B23" t="s">
        <v>254</v>
      </c>
      <c r="C23" t="s">
        <v>221</v>
      </c>
      <c r="D23" t="s">
        <v>253</v>
      </c>
      <c r="E23" t="s">
        <v>219</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54"/>
  <sheetViews>
    <sheetView workbookViewId="0"/>
  </sheetViews>
  <sheetFormatPr defaultRowHeight="14.5" x14ac:dyDescent="0.35"/>
  <sheetData>
    <row r="1" spans="1:10" x14ac:dyDescent="0.35">
      <c r="A1" t="s">
        <v>6</v>
      </c>
      <c r="B1" t="s">
        <v>7</v>
      </c>
      <c r="C1" t="s">
        <v>255</v>
      </c>
      <c r="D1" t="s">
        <v>51</v>
      </c>
      <c r="E1" t="s">
        <v>214</v>
      </c>
      <c r="F1" t="s">
        <v>256</v>
      </c>
      <c r="G1" t="s">
        <v>257</v>
      </c>
      <c r="H1" t="s">
        <v>258</v>
      </c>
      <c r="I1" t="s">
        <v>12</v>
      </c>
      <c r="J1" t="s">
        <v>13</v>
      </c>
    </row>
    <row r="2" spans="1:10" x14ac:dyDescent="0.35">
      <c r="A2">
        <v>1</v>
      </c>
      <c r="B2" t="s">
        <v>259</v>
      </c>
      <c r="C2" t="s">
        <v>260</v>
      </c>
      <c r="D2" t="s">
        <v>261</v>
      </c>
      <c r="E2" t="s">
        <v>22</v>
      </c>
      <c r="F2" t="s">
        <v>262</v>
      </c>
      <c r="G2" t="s">
        <v>263</v>
      </c>
    </row>
    <row r="3" spans="1:10" x14ac:dyDescent="0.35">
      <c r="A3">
        <v>2</v>
      </c>
      <c r="B3" t="s">
        <v>264</v>
      </c>
      <c r="C3" t="s">
        <v>265</v>
      </c>
      <c r="D3" t="s">
        <v>261</v>
      </c>
      <c r="E3" t="s">
        <v>22</v>
      </c>
      <c r="F3" t="s">
        <v>266</v>
      </c>
      <c r="G3" t="s">
        <v>267</v>
      </c>
    </row>
    <row r="4" spans="1:10" x14ac:dyDescent="0.35">
      <c r="A4">
        <v>3</v>
      </c>
      <c r="B4" t="s">
        <v>268</v>
      </c>
      <c r="C4" t="s">
        <v>269</v>
      </c>
      <c r="D4" t="s">
        <v>270</v>
      </c>
      <c r="E4" t="s">
        <v>22</v>
      </c>
      <c r="G4" t="s">
        <v>263</v>
      </c>
    </row>
    <row r="5" spans="1:10" x14ac:dyDescent="0.35">
      <c r="A5">
        <v>4</v>
      </c>
      <c r="B5" t="s">
        <v>271</v>
      </c>
      <c r="C5" t="s">
        <v>272</v>
      </c>
      <c r="D5" t="s">
        <v>273</v>
      </c>
      <c r="E5" t="s">
        <v>22</v>
      </c>
      <c r="G5" t="s">
        <v>263</v>
      </c>
    </row>
    <row r="6" spans="1:10" x14ac:dyDescent="0.35">
      <c r="A6">
        <v>5</v>
      </c>
      <c r="B6" t="s">
        <v>274</v>
      </c>
      <c r="C6" t="s">
        <v>275</v>
      </c>
      <c r="D6" t="s">
        <v>276</v>
      </c>
      <c r="E6" t="s">
        <v>22</v>
      </c>
      <c r="F6" t="s">
        <v>277</v>
      </c>
      <c r="G6" t="s">
        <v>263</v>
      </c>
    </row>
    <row r="7" spans="1:10" x14ac:dyDescent="0.35">
      <c r="A7">
        <v>6</v>
      </c>
      <c r="B7" t="s">
        <v>278</v>
      </c>
      <c r="C7" t="s">
        <v>279</v>
      </c>
      <c r="D7" t="s">
        <v>261</v>
      </c>
      <c r="E7" t="s">
        <v>22</v>
      </c>
      <c r="F7" t="s">
        <v>280</v>
      </c>
      <c r="G7" t="s">
        <v>263</v>
      </c>
    </row>
    <row r="8" spans="1:10" x14ac:dyDescent="0.35">
      <c r="A8">
        <v>7</v>
      </c>
      <c r="B8" t="s">
        <v>281</v>
      </c>
      <c r="C8" t="s">
        <v>282</v>
      </c>
      <c r="D8" t="s">
        <v>273</v>
      </c>
      <c r="E8" t="s">
        <v>22</v>
      </c>
      <c r="F8" t="s">
        <v>283</v>
      </c>
      <c r="G8" t="s">
        <v>263</v>
      </c>
    </row>
    <row r="9" spans="1:10" x14ac:dyDescent="0.35">
      <c r="A9">
        <v>8</v>
      </c>
      <c r="B9" t="s">
        <v>284</v>
      </c>
      <c r="C9" t="s">
        <v>285</v>
      </c>
      <c r="D9" t="s">
        <v>270</v>
      </c>
      <c r="E9" t="s">
        <v>22</v>
      </c>
      <c r="F9" t="s">
        <v>286</v>
      </c>
      <c r="G9" t="s">
        <v>287</v>
      </c>
    </row>
    <row r="10" spans="1:10" x14ac:dyDescent="0.35">
      <c r="A10">
        <v>9</v>
      </c>
      <c r="B10" t="s">
        <v>288</v>
      </c>
      <c r="C10" t="s">
        <v>289</v>
      </c>
      <c r="D10" t="s">
        <v>273</v>
      </c>
      <c r="E10" t="s">
        <v>22</v>
      </c>
      <c r="F10" t="s">
        <v>290</v>
      </c>
      <c r="G10" t="s">
        <v>291</v>
      </c>
    </row>
    <row r="11" spans="1:10" x14ac:dyDescent="0.35">
      <c r="A11">
        <v>10</v>
      </c>
      <c r="B11" t="s">
        <v>292</v>
      </c>
      <c r="C11" t="s">
        <v>293</v>
      </c>
      <c r="D11" t="s">
        <v>294</v>
      </c>
      <c r="E11" t="s">
        <v>22</v>
      </c>
      <c r="F11" t="s">
        <v>295</v>
      </c>
      <c r="G11" t="s">
        <v>296</v>
      </c>
    </row>
    <row r="12" spans="1:10" x14ac:dyDescent="0.35">
      <c r="A12">
        <v>11</v>
      </c>
      <c r="B12" t="s">
        <v>297</v>
      </c>
      <c r="C12" t="s">
        <v>298</v>
      </c>
      <c r="D12" t="s">
        <v>294</v>
      </c>
      <c r="E12" t="s">
        <v>22</v>
      </c>
      <c r="F12" t="s">
        <v>299</v>
      </c>
      <c r="G12" t="s">
        <v>300</v>
      </c>
    </row>
    <row r="13" spans="1:10" x14ac:dyDescent="0.35">
      <c r="A13">
        <v>12</v>
      </c>
      <c r="B13" t="s">
        <v>301</v>
      </c>
      <c r="C13" t="s">
        <v>302</v>
      </c>
      <c r="D13" t="s">
        <v>261</v>
      </c>
      <c r="E13" t="s">
        <v>22</v>
      </c>
      <c r="F13" t="s">
        <v>299</v>
      </c>
      <c r="G13" t="s">
        <v>303</v>
      </c>
    </row>
    <row r="14" spans="1:10" x14ac:dyDescent="0.35">
      <c r="A14">
        <v>13</v>
      </c>
      <c r="B14" t="s">
        <v>304</v>
      </c>
      <c r="C14" t="s">
        <v>305</v>
      </c>
      <c r="D14" t="s">
        <v>261</v>
      </c>
      <c r="E14" t="s">
        <v>22</v>
      </c>
      <c r="F14" t="s">
        <v>299</v>
      </c>
      <c r="G14" t="s">
        <v>306</v>
      </c>
    </row>
    <row r="15" spans="1:10" x14ac:dyDescent="0.35">
      <c r="A15">
        <v>14</v>
      </c>
      <c r="B15" t="s">
        <v>307</v>
      </c>
      <c r="C15" t="s">
        <v>308</v>
      </c>
      <c r="D15" t="s">
        <v>270</v>
      </c>
      <c r="E15" t="s">
        <v>22</v>
      </c>
      <c r="F15" t="s">
        <v>299</v>
      </c>
      <c r="G15" t="s">
        <v>309</v>
      </c>
    </row>
    <row r="16" spans="1:10" x14ac:dyDescent="0.35">
      <c r="A16">
        <v>15</v>
      </c>
      <c r="B16" t="s">
        <v>310</v>
      </c>
      <c r="C16" t="s">
        <v>311</v>
      </c>
      <c r="D16" t="s">
        <v>273</v>
      </c>
      <c r="E16" t="s">
        <v>22</v>
      </c>
      <c r="F16" t="s">
        <v>299</v>
      </c>
      <c r="G16" t="s">
        <v>312</v>
      </c>
    </row>
    <row r="17" spans="1:7" x14ac:dyDescent="0.35">
      <c r="A17">
        <v>16</v>
      </c>
      <c r="B17" t="s">
        <v>313</v>
      </c>
      <c r="C17" t="s">
        <v>314</v>
      </c>
      <c r="D17" t="s">
        <v>273</v>
      </c>
      <c r="E17" t="s">
        <v>22</v>
      </c>
      <c r="F17" t="s">
        <v>299</v>
      </c>
      <c r="G17" t="s">
        <v>315</v>
      </c>
    </row>
    <row r="18" spans="1:7" x14ac:dyDescent="0.35">
      <c r="A18">
        <v>17</v>
      </c>
      <c r="B18" t="s">
        <v>316</v>
      </c>
      <c r="C18" t="s">
        <v>317</v>
      </c>
      <c r="D18" t="s">
        <v>273</v>
      </c>
      <c r="E18" t="s">
        <v>22</v>
      </c>
      <c r="F18" t="s">
        <v>299</v>
      </c>
      <c r="G18" t="s">
        <v>263</v>
      </c>
    </row>
    <row r="19" spans="1:7" x14ac:dyDescent="0.35">
      <c r="A19">
        <v>18</v>
      </c>
      <c r="B19" t="s">
        <v>318</v>
      </c>
      <c r="C19" t="s">
        <v>305</v>
      </c>
      <c r="D19" t="s">
        <v>273</v>
      </c>
      <c r="E19" t="s">
        <v>22</v>
      </c>
      <c r="F19" t="s">
        <v>299</v>
      </c>
      <c r="G19" t="s">
        <v>319</v>
      </c>
    </row>
    <row r="20" spans="1:7" x14ac:dyDescent="0.35">
      <c r="A20">
        <v>19</v>
      </c>
      <c r="B20" t="s">
        <v>320</v>
      </c>
      <c r="C20" t="s">
        <v>305</v>
      </c>
      <c r="D20" t="s">
        <v>294</v>
      </c>
      <c r="E20" t="s">
        <v>22</v>
      </c>
      <c r="F20" t="s">
        <v>299</v>
      </c>
      <c r="G20" t="s">
        <v>315</v>
      </c>
    </row>
    <row r="21" spans="1:7" x14ac:dyDescent="0.35">
      <c r="A21">
        <v>20</v>
      </c>
      <c r="B21" t="s">
        <v>321</v>
      </c>
      <c r="C21" t="s">
        <v>322</v>
      </c>
      <c r="D21" t="s">
        <v>294</v>
      </c>
      <c r="E21" t="s">
        <v>22</v>
      </c>
      <c r="F21" t="s">
        <v>299</v>
      </c>
      <c r="G21" t="s">
        <v>296</v>
      </c>
    </row>
    <row r="22" spans="1:7" x14ac:dyDescent="0.35">
      <c r="A22">
        <v>21</v>
      </c>
      <c r="B22" t="s">
        <v>323</v>
      </c>
      <c r="C22" t="s">
        <v>305</v>
      </c>
      <c r="D22" t="s">
        <v>261</v>
      </c>
      <c r="E22" t="s">
        <v>22</v>
      </c>
      <c r="F22" t="s">
        <v>299</v>
      </c>
      <c r="G22" t="s">
        <v>324</v>
      </c>
    </row>
    <row r="23" spans="1:7" x14ac:dyDescent="0.35">
      <c r="A23">
        <v>22</v>
      </c>
      <c r="B23" t="s">
        <v>325</v>
      </c>
      <c r="C23" t="s">
        <v>326</v>
      </c>
      <c r="D23" t="s">
        <v>270</v>
      </c>
      <c r="E23" t="s">
        <v>22</v>
      </c>
      <c r="F23" t="s">
        <v>299</v>
      </c>
    </row>
    <row r="24" spans="1:7" x14ac:dyDescent="0.35">
      <c r="A24">
        <v>23</v>
      </c>
      <c r="B24" t="s">
        <v>327</v>
      </c>
      <c r="C24" t="s">
        <v>328</v>
      </c>
      <c r="D24" t="s">
        <v>270</v>
      </c>
      <c r="E24" t="s">
        <v>22</v>
      </c>
      <c r="F24" t="s">
        <v>299</v>
      </c>
    </row>
    <row r="25" spans="1:7" x14ac:dyDescent="0.35">
      <c r="A25">
        <v>24</v>
      </c>
      <c r="B25" t="s">
        <v>329</v>
      </c>
      <c r="C25" t="s">
        <v>330</v>
      </c>
      <c r="D25">
        <v>2024</v>
      </c>
      <c r="E25" t="s">
        <v>22</v>
      </c>
      <c r="F25" t="s">
        <v>331</v>
      </c>
    </row>
    <row r="26" spans="1:7" x14ac:dyDescent="0.35">
      <c r="A26">
        <v>25</v>
      </c>
      <c r="B26" t="s">
        <v>332</v>
      </c>
      <c r="C26" t="s">
        <v>333</v>
      </c>
      <c r="D26">
        <v>2025</v>
      </c>
      <c r="E26" t="s">
        <v>22</v>
      </c>
      <c r="F26" t="s">
        <v>334</v>
      </c>
    </row>
    <row r="27" spans="1:7" x14ac:dyDescent="0.35">
      <c r="A27">
        <v>26</v>
      </c>
      <c r="B27" t="s">
        <v>335</v>
      </c>
      <c r="C27" t="s">
        <v>336</v>
      </c>
      <c r="D27">
        <v>2025</v>
      </c>
      <c r="E27" t="s">
        <v>22</v>
      </c>
      <c r="F27" t="s">
        <v>337</v>
      </c>
      <c r="G27" t="s">
        <v>263</v>
      </c>
    </row>
    <row r="28" spans="1:7" x14ac:dyDescent="0.35">
      <c r="A28">
        <v>27</v>
      </c>
      <c r="B28" t="s">
        <v>338</v>
      </c>
      <c r="C28" t="s">
        <v>339</v>
      </c>
      <c r="D28">
        <v>2024</v>
      </c>
      <c r="E28" t="s">
        <v>22</v>
      </c>
      <c r="F28" t="s">
        <v>340</v>
      </c>
      <c r="G28" t="s">
        <v>263</v>
      </c>
    </row>
    <row r="29" spans="1:7" x14ac:dyDescent="0.35">
      <c r="A29">
        <v>28</v>
      </c>
      <c r="B29" t="s">
        <v>341</v>
      </c>
      <c r="C29" t="s">
        <v>342</v>
      </c>
      <c r="D29">
        <v>2023</v>
      </c>
      <c r="E29" t="s">
        <v>22</v>
      </c>
      <c r="F29" t="s">
        <v>340</v>
      </c>
      <c r="G29" t="s">
        <v>263</v>
      </c>
    </row>
    <row r="30" spans="1:7" x14ac:dyDescent="0.35">
      <c r="A30">
        <v>29</v>
      </c>
      <c r="B30" t="s">
        <v>343</v>
      </c>
      <c r="C30" t="s">
        <v>344</v>
      </c>
      <c r="D30">
        <v>2026</v>
      </c>
      <c r="E30" t="s">
        <v>22</v>
      </c>
      <c r="F30" t="s">
        <v>345</v>
      </c>
      <c r="G30" t="s">
        <v>263</v>
      </c>
    </row>
    <row r="31" spans="1:7" x14ac:dyDescent="0.35">
      <c r="A31">
        <v>30</v>
      </c>
      <c r="B31" t="s">
        <v>346</v>
      </c>
      <c r="C31" t="s">
        <v>347</v>
      </c>
      <c r="D31">
        <v>2026</v>
      </c>
      <c r="E31" t="s">
        <v>22</v>
      </c>
      <c r="F31" t="s">
        <v>345</v>
      </c>
      <c r="G31" t="s">
        <v>263</v>
      </c>
    </row>
    <row r="32" spans="1:7" x14ac:dyDescent="0.35">
      <c r="A32">
        <v>31</v>
      </c>
      <c r="B32" t="s">
        <v>348</v>
      </c>
      <c r="C32" t="s">
        <v>349</v>
      </c>
      <c r="D32">
        <v>2025</v>
      </c>
      <c r="E32" t="s">
        <v>22</v>
      </c>
      <c r="F32" t="s">
        <v>337</v>
      </c>
      <c r="G32" t="s">
        <v>263</v>
      </c>
    </row>
    <row r="33" spans="1:7" x14ac:dyDescent="0.35">
      <c r="A33">
        <v>32</v>
      </c>
      <c r="B33" t="s">
        <v>350</v>
      </c>
      <c r="C33" t="s">
        <v>351</v>
      </c>
      <c r="D33">
        <v>2024</v>
      </c>
      <c r="E33" t="s">
        <v>22</v>
      </c>
      <c r="F33" t="s">
        <v>352</v>
      </c>
      <c r="G33" t="s">
        <v>263</v>
      </c>
    </row>
    <row r="34" spans="1:7" x14ac:dyDescent="0.35">
      <c r="A34">
        <v>33</v>
      </c>
      <c r="B34" t="s">
        <v>353</v>
      </c>
      <c r="C34" t="s">
        <v>354</v>
      </c>
      <c r="D34">
        <v>2024</v>
      </c>
      <c r="E34" t="s">
        <v>22</v>
      </c>
      <c r="F34" t="s">
        <v>337</v>
      </c>
      <c r="G34" t="s">
        <v>355</v>
      </c>
    </row>
    <row r="35" spans="1:7" x14ac:dyDescent="0.35">
      <c r="A35">
        <v>34</v>
      </c>
      <c r="B35" t="s">
        <v>356</v>
      </c>
      <c r="C35" t="s">
        <v>357</v>
      </c>
      <c r="D35">
        <v>2024</v>
      </c>
      <c r="E35" t="s">
        <v>22</v>
      </c>
      <c r="F35" t="s">
        <v>358</v>
      </c>
      <c r="G35" t="s">
        <v>359</v>
      </c>
    </row>
    <row r="36" spans="1:7" x14ac:dyDescent="0.35">
      <c r="A36">
        <v>35</v>
      </c>
      <c r="B36" t="s">
        <v>360</v>
      </c>
      <c r="C36" t="s">
        <v>361</v>
      </c>
      <c r="D36">
        <v>2023</v>
      </c>
      <c r="E36" t="s">
        <v>22</v>
      </c>
      <c r="F36" t="s">
        <v>266</v>
      </c>
      <c r="G36" t="s">
        <v>362</v>
      </c>
    </row>
    <row r="37" spans="1:7" x14ac:dyDescent="0.35">
      <c r="A37">
        <v>36</v>
      </c>
    </row>
    <row r="38" spans="1:7" x14ac:dyDescent="0.35">
      <c r="A38">
        <v>37</v>
      </c>
    </row>
    <row r="39" spans="1:7" x14ac:dyDescent="0.35">
      <c r="A39">
        <v>38</v>
      </c>
    </row>
    <row r="40" spans="1:7" x14ac:dyDescent="0.35">
      <c r="A40">
        <v>39</v>
      </c>
    </row>
    <row r="41" spans="1:7" x14ac:dyDescent="0.35">
      <c r="A41">
        <v>40</v>
      </c>
    </row>
    <row r="42" spans="1:7" x14ac:dyDescent="0.35">
      <c r="A42">
        <v>41</v>
      </c>
    </row>
    <row r="43" spans="1:7" x14ac:dyDescent="0.35">
      <c r="A43">
        <v>42</v>
      </c>
    </row>
    <row r="44" spans="1:7" x14ac:dyDescent="0.35">
      <c r="A44">
        <v>43</v>
      </c>
    </row>
    <row r="45" spans="1:7" x14ac:dyDescent="0.35">
      <c r="A45">
        <v>44</v>
      </c>
    </row>
    <row r="46" spans="1:7" x14ac:dyDescent="0.35">
      <c r="A46">
        <v>45</v>
      </c>
    </row>
    <row r="47" spans="1:7" x14ac:dyDescent="0.35">
      <c r="A47">
        <v>46</v>
      </c>
    </row>
    <row r="48" spans="1:7" x14ac:dyDescent="0.35">
      <c r="A48">
        <v>47</v>
      </c>
    </row>
    <row r="49" spans="1:1" x14ac:dyDescent="0.35">
      <c r="A49">
        <v>48</v>
      </c>
    </row>
    <row r="50" spans="1:1" x14ac:dyDescent="0.35">
      <c r="A50">
        <v>49</v>
      </c>
    </row>
    <row r="51" spans="1:1" x14ac:dyDescent="0.35">
      <c r="A51">
        <v>50</v>
      </c>
    </row>
    <row r="52" spans="1:1" x14ac:dyDescent="0.35">
      <c r="A52">
        <v>51</v>
      </c>
    </row>
    <row r="53" spans="1:1" x14ac:dyDescent="0.35">
      <c r="A53">
        <v>52</v>
      </c>
    </row>
    <row r="54" spans="1:1" x14ac:dyDescent="0.35">
      <c r="A54">
        <v>53</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6"/>
  <sheetViews>
    <sheetView workbookViewId="0"/>
  </sheetViews>
  <sheetFormatPr defaultRowHeight="14.5" x14ac:dyDescent="0.35"/>
  <sheetData>
    <row r="1" spans="1:8" x14ac:dyDescent="0.35">
      <c r="A1" t="s">
        <v>6</v>
      </c>
      <c r="B1" t="s">
        <v>7</v>
      </c>
      <c r="C1" t="s">
        <v>9</v>
      </c>
      <c r="D1" t="s">
        <v>363</v>
      </c>
      <c r="E1" t="s">
        <v>8</v>
      </c>
      <c r="F1" t="s">
        <v>12</v>
      </c>
      <c r="G1" t="s">
        <v>13</v>
      </c>
      <c r="H1" t="s">
        <v>364</v>
      </c>
    </row>
    <row r="2" spans="1:8" x14ac:dyDescent="0.35">
      <c r="A2">
        <v>1</v>
      </c>
      <c r="B2" t="s">
        <v>365</v>
      </c>
      <c r="C2" t="s">
        <v>366</v>
      </c>
      <c r="D2" t="s">
        <v>367</v>
      </c>
      <c r="E2" t="s">
        <v>213</v>
      </c>
      <c r="G2" t="s">
        <v>368</v>
      </c>
      <c r="H2" t="s">
        <v>369</v>
      </c>
    </row>
    <row r="3" spans="1:8" x14ac:dyDescent="0.35">
      <c r="A3">
        <v>2</v>
      </c>
      <c r="B3" t="s">
        <v>370</v>
      </c>
      <c r="C3" t="s">
        <v>371</v>
      </c>
      <c r="D3" t="s">
        <v>372</v>
      </c>
      <c r="E3" t="s">
        <v>34</v>
      </c>
      <c r="H3" t="s">
        <v>373</v>
      </c>
    </row>
    <row r="4" spans="1:8" x14ac:dyDescent="0.35">
      <c r="A4">
        <v>3</v>
      </c>
      <c r="B4" t="s">
        <v>374</v>
      </c>
      <c r="C4" t="s">
        <v>375</v>
      </c>
      <c r="D4" t="s">
        <v>376</v>
      </c>
      <c r="E4" t="s">
        <v>377</v>
      </c>
      <c r="G4" t="s">
        <v>378</v>
      </c>
    </row>
    <row r="5" spans="1:8" x14ac:dyDescent="0.35">
      <c r="A5">
        <v>4</v>
      </c>
      <c r="B5" t="s">
        <v>379</v>
      </c>
      <c r="C5" t="s">
        <v>380</v>
      </c>
      <c r="D5" t="s">
        <v>381</v>
      </c>
      <c r="E5" t="s">
        <v>382</v>
      </c>
    </row>
    <row r="6" spans="1:8" x14ac:dyDescent="0.35">
      <c r="A6">
        <v>5</v>
      </c>
      <c r="B6" t="s">
        <v>383</v>
      </c>
      <c r="C6" t="s">
        <v>384</v>
      </c>
      <c r="D6" t="s">
        <v>385</v>
      </c>
      <c r="E6" t="s">
        <v>34</v>
      </c>
      <c r="H6" t="s">
        <v>386</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19"/>
  <sheetViews>
    <sheetView workbookViewId="0"/>
  </sheetViews>
  <sheetFormatPr defaultRowHeight="14.5" x14ac:dyDescent="0.35"/>
  <sheetData>
    <row r="1" spans="1:10" x14ac:dyDescent="0.35">
      <c r="A1" t="s">
        <v>6</v>
      </c>
      <c r="B1" t="s">
        <v>7</v>
      </c>
      <c r="C1" t="s">
        <v>255</v>
      </c>
      <c r="D1" t="s">
        <v>51</v>
      </c>
      <c r="E1" t="s">
        <v>214</v>
      </c>
      <c r="F1" t="s">
        <v>256</v>
      </c>
      <c r="G1" t="s">
        <v>257</v>
      </c>
      <c r="H1" t="s">
        <v>258</v>
      </c>
      <c r="I1" t="s">
        <v>12</v>
      </c>
      <c r="J1" t="s">
        <v>13</v>
      </c>
    </row>
    <row r="2" spans="1:10" x14ac:dyDescent="0.35">
      <c r="A2">
        <v>1</v>
      </c>
      <c r="B2" t="s">
        <v>387</v>
      </c>
      <c r="C2" t="s">
        <v>388</v>
      </c>
      <c r="D2" t="s">
        <v>261</v>
      </c>
      <c r="E2" t="s">
        <v>40</v>
      </c>
      <c r="F2" t="s">
        <v>389</v>
      </c>
      <c r="G2" t="s">
        <v>390</v>
      </c>
      <c r="H2" t="s">
        <v>391</v>
      </c>
      <c r="I2" t="s">
        <v>392</v>
      </c>
      <c r="J2" t="s">
        <v>393</v>
      </c>
    </row>
    <row r="3" spans="1:10" x14ac:dyDescent="0.35">
      <c r="A3">
        <v>2</v>
      </c>
      <c r="B3" t="s">
        <v>394</v>
      </c>
      <c r="C3" t="s">
        <v>395</v>
      </c>
      <c r="D3" t="s">
        <v>273</v>
      </c>
      <c r="E3" t="s">
        <v>40</v>
      </c>
      <c r="F3" t="s">
        <v>396</v>
      </c>
      <c r="G3" t="s">
        <v>397</v>
      </c>
      <c r="H3" t="s">
        <v>398</v>
      </c>
    </row>
    <row r="4" spans="1:10" x14ac:dyDescent="0.35">
      <c r="A4">
        <v>3</v>
      </c>
      <c r="B4" t="s">
        <v>399</v>
      </c>
      <c r="C4" t="s">
        <v>400</v>
      </c>
      <c r="D4" t="s">
        <v>294</v>
      </c>
      <c r="E4" t="s">
        <v>40</v>
      </c>
      <c r="F4" t="s">
        <v>389</v>
      </c>
      <c r="G4" t="s">
        <v>401</v>
      </c>
      <c r="H4" t="s">
        <v>402</v>
      </c>
      <c r="I4" t="s">
        <v>403</v>
      </c>
    </row>
    <row r="5" spans="1:10" x14ac:dyDescent="0.35">
      <c r="A5">
        <v>4</v>
      </c>
      <c r="B5" t="s">
        <v>404</v>
      </c>
      <c r="C5" t="s">
        <v>405</v>
      </c>
      <c r="D5" t="s">
        <v>261</v>
      </c>
      <c r="E5" t="s">
        <v>40</v>
      </c>
      <c r="F5" t="s">
        <v>266</v>
      </c>
      <c r="G5" t="s">
        <v>406</v>
      </c>
    </row>
    <row r="6" spans="1:10" x14ac:dyDescent="0.35">
      <c r="A6">
        <v>5</v>
      </c>
      <c r="B6" t="s">
        <v>407</v>
      </c>
      <c r="C6" t="s">
        <v>408</v>
      </c>
      <c r="D6" t="s">
        <v>273</v>
      </c>
      <c r="E6" t="s">
        <v>40</v>
      </c>
      <c r="F6" t="s">
        <v>389</v>
      </c>
      <c r="G6" t="s">
        <v>409</v>
      </c>
    </row>
    <row r="7" spans="1:10" x14ac:dyDescent="0.35">
      <c r="A7">
        <v>6</v>
      </c>
      <c r="B7" t="s">
        <v>410</v>
      </c>
      <c r="C7" t="s">
        <v>411</v>
      </c>
      <c r="D7" t="s">
        <v>273</v>
      </c>
      <c r="E7" t="s">
        <v>40</v>
      </c>
      <c r="F7" t="s">
        <v>412</v>
      </c>
      <c r="G7" t="s">
        <v>413</v>
      </c>
    </row>
    <row r="8" spans="1:10" x14ac:dyDescent="0.35">
      <c r="A8">
        <v>7</v>
      </c>
      <c r="B8" t="s">
        <v>414</v>
      </c>
      <c r="C8" t="s">
        <v>415</v>
      </c>
      <c r="D8" t="s">
        <v>273</v>
      </c>
      <c r="E8" t="s">
        <v>40</v>
      </c>
      <c r="F8" t="s">
        <v>412</v>
      </c>
      <c r="G8" t="s">
        <v>309</v>
      </c>
    </row>
    <row r="9" spans="1:10" x14ac:dyDescent="0.35">
      <c r="A9">
        <v>8</v>
      </c>
      <c r="B9" t="s">
        <v>416</v>
      </c>
      <c r="C9" t="s">
        <v>411</v>
      </c>
      <c r="D9" t="s">
        <v>294</v>
      </c>
      <c r="E9" t="s">
        <v>40</v>
      </c>
      <c r="F9" t="s">
        <v>417</v>
      </c>
      <c r="G9" t="s">
        <v>413</v>
      </c>
    </row>
    <row r="10" spans="1:10" x14ac:dyDescent="0.35">
      <c r="A10">
        <v>9</v>
      </c>
      <c r="B10" t="s">
        <v>418</v>
      </c>
      <c r="C10" t="s">
        <v>419</v>
      </c>
      <c r="D10" t="s">
        <v>261</v>
      </c>
      <c r="E10" t="s">
        <v>40</v>
      </c>
      <c r="F10" t="s">
        <v>420</v>
      </c>
      <c r="G10" t="s">
        <v>421</v>
      </c>
    </row>
    <row r="11" spans="1:10" x14ac:dyDescent="0.35">
      <c r="A11">
        <v>10</v>
      </c>
      <c r="B11" t="s">
        <v>422</v>
      </c>
      <c r="C11" t="s">
        <v>423</v>
      </c>
      <c r="D11" t="s">
        <v>270</v>
      </c>
      <c r="E11" t="s">
        <v>40</v>
      </c>
      <c r="F11" t="s">
        <v>424</v>
      </c>
      <c r="G11" t="s">
        <v>409</v>
      </c>
    </row>
    <row r="12" spans="1:10" x14ac:dyDescent="0.35">
      <c r="A12">
        <v>11</v>
      </c>
      <c r="B12" t="s">
        <v>425</v>
      </c>
      <c r="C12" t="s">
        <v>426</v>
      </c>
      <c r="D12" t="s">
        <v>273</v>
      </c>
      <c r="E12" t="s">
        <v>40</v>
      </c>
      <c r="F12" t="s">
        <v>427</v>
      </c>
      <c r="G12" t="s">
        <v>401</v>
      </c>
    </row>
    <row r="13" spans="1:10" x14ac:dyDescent="0.35">
      <c r="A13">
        <v>12</v>
      </c>
      <c r="B13" t="s">
        <v>428</v>
      </c>
      <c r="C13" t="s">
        <v>429</v>
      </c>
      <c r="D13" t="s">
        <v>261</v>
      </c>
      <c r="E13" t="s">
        <v>40</v>
      </c>
      <c r="F13" t="s">
        <v>389</v>
      </c>
    </row>
    <row r="14" spans="1:10" x14ac:dyDescent="0.35">
      <c r="A14">
        <v>13</v>
      </c>
      <c r="B14" t="s">
        <v>430</v>
      </c>
      <c r="C14" t="s">
        <v>431</v>
      </c>
      <c r="D14" t="s">
        <v>270</v>
      </c>
      <c r="E14" t="s">
        <v>40</v>
      </c>
      <c r="F14" t="s">
        <v>389</v>
      </c>
    </row>
    <row r="15" spans="1:10" x14ac:dyDescent="0.35">
      <c r="A15">
        <v>14</v>
      </c>
      <c r="B15" t="s">
        <v>432</v>
      </c>
      <c r="C15" t="s">
        <v>433</v>
      </c>
      <c r="D15" t="s">
        <v>270</v>
      </c>
      <c r="E15" t="s">
        <v>40</v>
      </c>
      <c r="F15" t="s">
        <v>389</v>
      </c>
    </row>
    <row r="16" spans="1:10" x14ac:dyDescent="0.35">
      <c r="A16">
        <v>15</v>
      </c>
      <c r="B16" t="s">
        <v>434</v>
      </c>
      <c r="C16" t="s">
        <v>435</v>
      </c>
      <c r="D16" t="s">
        <v>273</v>
      </c>
      <c r="E16" t="s">
        <v>40</v>
      </c>
      <c r="F16" t="s">
        <v>436</v>
      </c>
    </row>
    <row r="17" spans="1:6" x14ac:dyDescent="0.35">
      <c r="A17">
        <v>16</v>
      </c>
      <c r="B17" t="s">
        <v>437</v>
      </c>
      <c r="C17" t="s">
        <v>435</v>
      </c>
      <c r="D17" t="s">
        <v>273</v>
      </c>
      <c r="E17" t="s">
        <v>40</v>
      </c>
      <c r="F17" t="s">
        <v>438</v>
      </c>
    </row>
    <row r="18" spans="1:6" x14ac:dyDescent="0.35">
      <c r="A18">
        <v>17</v>
      </c>
      <c r="B18" t="s">
        <v>439</v>
      </c>
      <c r="C18" t="s">
        <v>440</v>
      </c>
      <c r="D18" t="s">
        <v>273</v>
      </c>
      <c r="E18" t="s">
        <v>40</v>
      </c>
      <c r="F18" t="s">
        <v>389</v>
      </c>
    </row>
    <row r="19" spans="1:6" x14ac:dyDescent="0.35">
      <c r="A19">
        <v>18</v>
      </c>
      <c r="B19" t="s">
        <v>441</v>
      </c>
      <c r="C19" t="s">
        <v>442</v>
      </c>
      <c r="D19" t="s">
        <v>273</v>
      </c>
      <c r="E19" t="s">
        <v>40</v>
      </c>
      <c r="F19" t="s">
        <v>443</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S2"/>
  <sheetViews>
    <sheetView workbookViewId="0"/>
  </sheetViews>
  <sheetFormatPr defaultRowHeight="14.5" x14ac:dyDescent="0.35"/>
  <sheetData>
    <row r="1" spans="1:19" x14ac:dyDescent="0.35">
      <c r="A1" t="s">
        <v>104</v>
      </c>
      <c r="B1" t="s">
        <v>444</v>
      </c>
      <c r="C1" t="s">
        <v>445</v>
      </c>
      <c r="D1" t="s">
        <v>446</v>
      </c>
      <c r="E1" t="s">
        <v>447</v>
      </c>
      <c r="F1" t="s">
        <v>448</v>
      </c>
      <c r="G1" t="s">
        <v>449</v>
      </c>
      <c r="H1" t="s">
        <v>450</v>
      </c>
      <c r="I1" t="s">
        <v>451</v>
      </c>
      <c r="J1" t="s">
        <v>452</v>
      </c>
      <c r="K1" t="s">
        <v>453</v>
      </c>
      <c r="L1" t="s">
        <v>454</v>
      </c>
      <c r="M1" t="s">
        <v>455</v>
      </c>
      <c r="N1" t="s">
        <v>456</v>
      </c>
      <c r="O1" t="s">
        <v>457</v>
      </c>
      <c r="P1" t="s">
        <v>458</v>
      </c>
      <c r="Q1" t="s">
        <v>459</v>
      </c>
      <c r="R1" t="s">
        <v>460</v>
      </c>
      <c r="S1" t="s">
        <v>461</v>
      </c>
    </row>
    <row r="2" spans="1:19" x14ac:dyDescent="0.35">
      <c r="A2" t="s">
        <v>462</v>
      </c>
      <c r="B2" t="s">
        <v>463</v>
      </c>
      <c r="C2" t="s">
        <v>464</v>
      </c>
      <c r="D2" t="s">
        <v>465</v>
      </c>
      <c r="E2" t="s">
        <v>466</v>
      </c>
      <c r="F2" t="s">
        <v>467</v>
      </c>
      <c r="G2" t="s">
        <v>468</v>
      </c>
      <c r="H2">
        <v>203</v>
      </c>
      <c r="I2">
        <v>3.32</v>
      </c>
      <c r="J2" t="s">
        <v>469</v>
      </c>
      <c r="K2" t="s">
        <v>470</v>
      </c>
      <c r="L2" t="s">
        <v>471</v>
      </c>
      <c r="M2" t="s">
        <v>472</v>
      </c>
      <c r="N2" t="s">
        <v>473</v>
      </c>
      <c r="O2" t="s">
        <v>474</v>
      </c>
      <c r="P2" t="s">
        <v>475</v>
      </c>
      <c r="Q2" t="s">
        <v>476</v>
      </c>
      <c r="R2" t="s">
        <v>477</v>
      </c>
      <c r="S2" t="s">
        <v>478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314"/>
  <sheetViews>
    <sheetView tabSelected="1" workbookViewId="0">
      <selection activeCell="K9" sqref="K9"/>
    </sheetView>
  </sheetViews>
  <sheetFormatPr defaultRowHeight="14.5" x14ac:dyDescent="0.35"/>
  <sheetData>
    <row r="1" spans="1:8" x14ac:dyDescent="0.35">
      <c r="A1" t="s">
        <v>7</v>
      </c>
      <c r="B1" t="s">
        <v>255</v>
      </c>
      <c r="C1" t="s">
        <v>214</v>
      </c>
      <c r="D1" t="s">
        <v>51</v>
      </c>
      <c r="E1" t="s">
        <v>479</v>
      </c>
      <c r="F1" t="s">
        <v>480</v>
      </c>
      <c r="G1" t="s">
        <v>6</v>
      </c>
      <c r="H1" t="s">
        <v>111</v>
      </c>
    </row>
    <row r="2" spans="1:8" x14ac:dyDescent="0.35">
      <c r="A2" t="s">
        <v>602</v>
      </c>
      <c r="B2" t="s">
        <v>818</v>
      </c>
      <c r="C2" t="s">
        <v>484</v>
      </c>
      <c r="D2">
        <v>2021</v>
      </c>
      <c r="E2" t="s">
        <v>1026</v>
      </c>
      <c r="F2" t="s">
        <v>1019</v>
      </c>
      <c r="G2">
        <v>1</v>
      </c>
      <c r="H2" t="str">
        <f>VLOOKUP(A2,'[1]All Publications'!$C$2:$I$439,7,FALSE)</f>
        <v>-</v>
      </c>
    </row>
    <row r="3" spans="1:8" x14ac:dyDescent="0.35">
      <c r="A3" t="s">
        <v>603</v>
      </c>
      <c r="B3" t="s">
        <v>819</v>
      </c>
      <c r="C3" t="s">
        <v>484</v>
      </c>
      <c r="D3">
        <v>2022</v>
      </c>
      <c r="E3" t="s">
        <v>1027</v>
      </c>
      <c r="F3" t="s">
        <v>1020</v>
      </c>
      <c r="G3">
        <v>2</v>
      </c>
      <c r="H3" t="str">
        <f>VLOOKUP(A3,'[1]All Publications'!$C$2:$I$439,7,FALSE)</f>
        <v>S3-S5</v>
      </c>
    </row>
    <row r="4" spans="1:8" x14ac:dyDescent="0.35">
      <c r="A4" t="s">
        <v>604</v>
      </c>
      <c r="B4" t="s">
        <v>820</v>
      </c>
      <c r="C4" t="s">
        <v>482</v>
      </c>
      <c r="D4">
        <v>2020</v>
      </c>
      <c r="E4" t="s">
        <v>1028</v>
      </c>
      <c r="F4" t="s">
        <v>1018</v>
      </c>
      <c r="G4">
        <v>3</v>
      </c>
      <c r="H4" t="str">
        <f>VLOOKUP(A4,'[1]All Publications'!$C$2:$I$439,7,FALSE)</f>
        <v>S2</v>
      </c>
    </row>
    <row r="5" spans="1:8" x14ac:dyDescent="0.35">
      <c r="A5" t="s">
        <v>605</v>
      </c>
      <c r="B5" t="s">
        <v>818</v>
      </c>
      <c r="C5" t="s">
        <v>484</v>
      </c>
      <c r="D5">
        <v>2023</v>
      </c>
      <c r="E5" t="s">
        <v>1029</v>
      </c>
      <c r="F5" t="s">
        <v>1018</v>
      </c>
      <c r="G5">
        <v>4</v>
      </c>
      <c r="H5" t="str">
        <f>VLOOKUP(A5,'[1]All Publications'!$C$2:$I$439,7,FALSE)</f>
        <v>S2</v>
      </c>
    </row>
    <row r="6" spans="1:8" x14ac:dyDescent="0.35">
      <c r="A6" t="s">
        <v>490</v>
      </c>
      <c r="B6" t="s">
        <v>821</v>
      </c>
      <c r="C6" t="s">
        <v>484</v>
      </c>
      <c r="D6">
        <v>2023</v>
      </c>
      <c r="E6" t="s">
        <v>1030</v>
      </c>
      <c r="F6" t="s">
        <v>1019</v>
      </c>
      <c r="G6">
        <v>5</v>
      </c>
      <c r="H6" t="str">
        <f>VLOOKUP(A6,'[1]All Publications'!$C$2:$I$439,7,FALSE)</f>
        <v>-</v>
      </c>
    </row>
    <row r="7" spans="1:8" x14ac:dyDescent="0.35">
      <c r="A7" t="s">
        <v>493</v>
      </c>
      <c r="B7" t="s">
        <v>818</v>
      </c>
      <c r="C7" t="s">
        <v>482</v>
      </c>
      <c r="D7">
        <v>2022</v>
      </c>
      <c r="E7" t="s">
        <v>1031</v>
      </c>
      <c r="F7" t="s">
        <v>1022</v>
      </c>
      <c r="G7">
        <v>6</v>
      </c>
      <c r="H7" t="str">
        <f>VLOOKUP(A7,'[1]All Publications'!$C$2:$I$439,7,FALSE)</f>
        <v>-</v>
      </c>
    </row>
    <row r="8" spans="1:8" x14ac:dyDescent="0.35">
      <c r="A8" t="s">
        <v>606</v>
      </c>
      <c r="B8" t="s">
        <v>822</v>
      </c>
      <c r="C8" t="s">
        <v>482</v>
      </c>
      <c r="D8">
        <v>2020</v>
      </c>
      <c r="E8" t="s">
        <v>1032</v>
      </c>
      <c r="F8" t="s">
        <v>1018</v>
      </c>
      <c r="G8">
        <v>7</v>
      </c>
      <c r="H8" t="str">
        <f>VLOOKUP(A8,'[1]All Publications'!$C$2:$I$439,7,FALSE)</f>
        <v>S1</v>
      </c>
    </row>
    <row r="9" spans="1:8" x14ac:dyDescent="0.35">
      <c r="A9" t="s">
        <v>607</v>
      </c>
      <c r="B9" t="s">
        <v>823</v>
      </c>
      <c r="C9" t="s">
        <v>484</v>
      </c>
      <c r="D9">
        <v>2025</v>
      </c>
      <c r="E9" t="s">
        <v>1033</v>
      </c>
      <c r="F9" t="s">
        <v>1020</v>
      </c>
      <c r="G9">
        <v>8</v>
      </c>
      <c r="H9" t="str">
        <f>VLOOKUP(A9,'[1]All Publications'!$C$2:$I$439,7,FALSE)</f>
        <v>S3-S5</v>
      </c>
    </row>
    <row r="10" spans="1:8" x14ac:dyDescent="0.35">
      <c r="A10" t="s">
        <v>608</v>
      </c>
      <c r="B10" t="s">
        <v>824</v>
      </c>
      <c r="C10" t="s">
        <v>484</v>
      </c>
      <c r="D10">
        <v>2023</v>
      </c>
      <c r="E10" t="s">
        <v>1034</v>
      </c>
      <c r="F10" t="s">
        <v>1021</v>
      </c>
      <c r="G10">
        <v>9</v>
      </c>
      <c r="H10" t="str">
        <f>VLOOKUP(A10,'[1]All Publications'!$C$2:$I$439,7,FALSE)</f>
        <v>-</v>
      </c>
    </row>
    <row r="11" spans="1:8" x14ac:dyDescent="0.35">
      <c r="A11" t="s">
        <v>609</v>
      </c>
      <c r="B11" t="s">
        <v>825</v>
      </c>
      <c r="C11" t="s">
        <v>482</v>
      </c>
      <c r="D11">
        <v>2023</v>
      </c>
      <c r="E11" t="s">
        <v>1035</v>
      </c>
      <c r="F11" t="s">
        <v>1018</v>
      </c>
      <c r="G11">
        <v>10</v>
      </c>
      <c r="H11" t="str">
        <f>VLOOKUP(A11,'[1]All Publications'!$C$2:$I$439,7,FALSE)</f>
        <v>S2</v>
      </c>
    </row>
    <row r="12" spans="1:8" x14ac:dyDescent="0.35">
      <c r="A12" t="s">
        <v>489</v>
      </c>
      <c r="B12" t="s">
        <v>818</v>
      </c>
      <c r="C12" t="s">
        <v>482</v>
      </c>
      <c r="D12">
        <v>2023</v>
      </c>
      <c r="E12" t="s">
        <v>1036</v>
      </c>
      <c r="F12" t="s">
        <v>1018</v>
      </c>
      <c r="G12">
        <v>11</v>
      </c>
      <c r="H12" t="str">
        <f>VLOOKUP(A12,'[1]All Publications'!$C$2:$I$439,7,FALSE)</f>
        <v>S3</v>
      </c>
    </row>
    <row r="13" spans="1:8" x14ac:dyDescent="0.35">
      <c r="A13" t="s">
        <v>610</v>
      </c>
      <c r="B13" t="s">
        <v>818</v>
      </c>
      <c r="C13" t="s">
        <v>482</v>
      </c>
      <c r="D13">
        <v>2022</v>
      </c>
      <c r="E13" t="s">
        <v>1037</v>
      </c>
      <c r="F13" t="s">
        <v>1021</v>
      </c>
      <c r="G13">
        <v>12</v>
      </c>
      <c r="H13" t="str">
        <f>VLOOKUP(A13,'[1]All Publications'!$C$2:$I$439,7,FALSE)</f>
        <v>-</v>
      </c>
    </row>
    <row r="14" spans="1:8" x14ac:dyDescent="0.35">
      <c r="A14" t="s">
        <v>611</v>
      </c>
      <c r="B14" t="s">
        <v>818</v>
      </c>
      <c r="C14" t="s">
        <v>482</v>
      </c>
      <c r="D14">
        <v>2025</v>
      </c>
      <c r="E14" t="s">
        <v>1038</v>
      </c>
      <c r="F14" t="s">
        <v>1020</v>
      </c>
      <c r="G14">
        <v>13</v>
      </c>
      <c r="H14" t="str">
        <f>VLOOKUP(A14,'[1]All Publications'!$C$2:$I$439,7,FALSE)</f>
        <v>S3-S5</v>
      </c>
    </row>
    <row r="15" spans="1:8" x14ac:dyDescent="0.35">
      <c r="A15" t="s">
        <v>612</v>
      </c>
      <c r="B15" t="s">
        <v>826</v>
      </c>
      <c r="C15" t="s">
        <v>484</v>
      </c>
      <c r="D15">
        <v>2024</v>
      </c>
      <c r="E15" t="s">
        <v>1039</v>
      </c>
      <c r="F15" t="s">
        <v>1018</v>
      </c>
      <c r="G15">
        <v>14</v>
      </c>
      <c r="H15" t="str">
        <f>VLOOKUP(A15,'[1]All Publications'!$C$2:$I$439,7,FALSE)</f>
        <v>S4</v>
      </c>
    </row>
    <row r="16" spans="1:8" x14ac:dyDescent="0.35">
      <c r="A16" t="s">
        <v>488</v>
      </c>
      <c r="B16" t="s">
        <v>818</v>
      </c>
      <c r="C16" t="s">
        <v>482</v>
      </c>
      <c r="D16">
        <v>2023</v>
      </c>
      <c r="E16" t="s">
        <v>1040</v>
      </c>
      <c r="F16" t="s">
        <v>1021</v>
      </c>
      <c r="G16">
        <v>15</v>
      </c>
      <c r="H16" t="str">
        <f>VLOOKUP(A16,'[1]All Publications'!$C$2:$I$439,7,FALSE)</f>
        <v>-</v>
      </c>
    </row>
    <row r="17" spans="1:8" x14ac:dyDescent="0.35">
      <c r="A17" t="s">
        <v>613</v>
      </c>
      <c r="B17" t="s">
        <v>819</v>
      </c>
      <c r="C17" t="s">
        <v>482</v>
      </c>
      <c r="D17">
        <v>2022</v>
      </c>
      <c r="E17" t="s">
        <v>1041</v>
      </c>
      <c r="F17" t="s">
        <v>1020</v>
      </c>
      <c r="G17">
        <v>16</v>
      </c>
      <c r="H17" t="str">
        <f>VLOOKUP(A17,'[1]All Publications'!$C$2:$I$439,7,FALSE)</f>
        <v>-</v>
      </c>
    </row>
    <row r="18" spans="1:8" x14ac:dyDescent="0.35">
      <c r="A18" t="s">
        <v>614</v>
      </c>
      <c r="B18" t="s">
        <v>827</v>
      </c>
      <c r="C18" t="s">
        <v>482</v>
      </c>
      <c r="D18">
        <v>2025</v>
      </c>
      <c r="E18" t="s">
        <v>1042</v>
      </c>
      <c r="F18" t="s">
        <v>1020</v>
      </c>
      <c r="G18">
        <v>17</v>
      </c>
      <c r="H18" t="str">
        <f>VLOOKUP(A18,'[1]All Publications'!$C$2:$I$439,7,FALSE)</f>
        <v>-</v>
      </c>
    </row>
    <row r="19" spans="1:8" x14ac:dyDescent="0.35">
      <c r="A19" t="s">
        <v>615</v>
      </c>
      <c r="B19" t="s">
        <v>828</v>
      </c>
      <c r="C19" t="s">
        <v>482</v>
      </c>
      <c r="D19">
        <v>2024</v>
      </c>
      <c r="E19" t="s">
        <v>1043</v>
      </c>
      <c r="F19" t="s">
        <v>1018</v>
      </c>
      <c r="G19">
        <v>18</v>
      </c>
      <c r="H19" t="str">
        <f>VLOOKUP(A19,'[1]All Publications'!$C$2:$I$439,7,FALSE)</f>
        <v>S4</v>
      </c>
    </row>
    <row r="20" spans="1:8" x14ac:dyDescent="0.35">
      <c r="A20" t="s">
        <v>616</v>
      </c>
      <c r="B20" t="s">
        <v>818</v>
      </c>
      <c r="C20" t="s">
        <v>484</v>
      </c>
      <c r="D20">
        <v>2023</v>
      </c>
      <c r="E20" t="s">
        <v>1044</v>
      </c>
      <c r="F20" t="s">
        <v>1021</v>
      </c>
      <c r="G20">
        <v>19</v>
      </c>
      <c r="H20" t="str">
        <f>VLOOKUP(A20,'[1]All Publications'!$C$2:$I$439,7,FALSE)</f>
        <v>-</v>
      </c>
    </row>
    <row r="21" spans="1:8" x14ac:dyDescent="0.35">
      <c r="A21" t="s">
        <v>617</v>
      </c>
      <c r="B21" t="s">
        <v>818</v>
      </c>
      <c r="C21" t="s">
        <v>482</v>
      </c>
      <c r="D21">
        <v>2022</v>
      </c>
      <c r="E21" t="s">
        <v>1045</v>
      </c>
      <c r="F21" t="s">
        <v>1020</v>
      </c>
      <c r="G21">
        <v>20</v>
      </c>
      <c r="H21" t="str">
        <f>VLOOKUP(A21,'[1]All Publications'!$C$2:$I$439,7,FALSE)</f>
        <v>S3-S5</v>
      </c>
    </row>
    <row r="22" spans="1:8" x14ac:dyDescent="0.35">
      <c r="A22" t="s">
        <v>618</v>
      </c>
      <c r="B22" t="s">
        <v>818</v>
      </c>
      <c r="C22" t="s">
        <v>482</v>
      </c>
      <c r="D22">
        <v>2022</v>
      </c>
      <c r="E22" t="s">
        <v>1046</v>
      </c>
      <c r="F22" t="s">
        <v>1018</v>
      </c>
      <c r="G22">
        <v>21</v>
      </c>
      <c r="H22" t="str">
        <f>VLOOKUP(A22,'[1]All Publications'!$C$2:$I$439,7,FALSE)</f>
        <v>-</v>
      </c>
    </row>
    <row r="23" spans="1:8" x14ac:dyDescent="0.35">
      <c r="A23" t="s">
        <v>619</v>
      </c>
      <c r="B23" t="s">
        <v>818</v>
      </c>
      <c r="C23" t="s">
        <v>482</v>
      </c>
      <c r="D23">
        <v>2020</v>
      </c>
      <c r="E23" t="s">
        <v>1047</v>
      </c>
      <c r="F23" t="s">
        <v>1018</v>
      </c>
      <c r="G23">
        <v>22</v>
      </c>
      <c r="H23" t="str">
        <f>VLOOKUP(A23,'[1]All Publications'!$C$2:$I$439,7,FALSE)</f>
        <v>-</v>
      </c>
    </row>
    <row r="24" spans="1:8" x14ac:dyDescent="0.35">
      <c r="A24" t="s">
        <v>620</v>
      </c>
      <c r="B24" t="s">
        <v>829</v>
      </c>
      <c r="C24" t="s">
        <v>482</v>
      </c>
      <c r="D24">
        <v>2020</v>
      </c>
      <c r="E24" t="s">
        <v>1048</v>
      </c>
      <c r="F24" t="s">
        <v>1021</v>
      </c>
      <c r="G24">
        <v>23</v>
      </c>
      <c r="H24" t="str">
        <f>VLOOKUP(A24,'[1]All Publications'!$C$2:$I$439,7,FALSE)</f>
        <v>-</v>
      </c>
    </row>
    <row r="25" spans="1:8" x14ac:dyDescent="0.35">
      <c r="A25" t="s">
        <v>621</v>
      </c>
      <c r="B25" t="s">
        <v>818</v>
      </c>
      <c r="C25" t="s">
        <v>484</v>
      </c>
      <c r="D25">
        <v>2025</v>
      </c>
      <c r="E25" t="s">
        <v>1049</v>
      </c>
      <c r="F25" t="s">
        <v>1020</v>
      </c>
      <c r="G25">
        <v>24</v>
      </c>
      <c r="H25" t="str">
        <f>VLOOKUP(A25,'[1]All Publications'!$C$2:$I$439,7,FALSE)</f>
        <v>S3-S5</v>
      </c>
    </row>
    <row r="26" spans="1:8" x14ac:dyDescent="0.35">
      <c r="A26" t="s">
        <v>622</v>
      </c>
      <c r="B26" t="s">
        <v>819</v>
      </c>
      <c r="C26" t="s">
        <v>484</v>
      </c>
      <c r="D26">
        <v>2025</v>
      </c>
      <c r="E26" t="s">
        <v>1050</v>
      </c>
      <c r="F26" t="s">
        <v>1018</v>
      </c>
      <c r="G26">
        <v>25</v>
      </c>
      <c r="H26" t="str">
        <f>VLOOKUP(A26,'[1]All Publications'!$C$2:$I$439,7,FALSE)</f>
        <v>S2</v>
      </c>
    </row>
    <row r="27" spans="1:8" x14ac:dyDescent="0.35">
      <c r="A27" t="s">
        <v>623</v>
      </c>
      <c r="B27" t="s">
        <v>830</v>
      </c>
      <c r="C27" t="s">
        <v>484</v>
      </c>
      <c r="D27">
        <v>2024</v>
      </c>
      <c r="E27" t="s">
        <v>1051</v>
      </c>
      <c r="F27" t="s">
        <v>1018</v>
      </c>
      <c r="G27">
        <v>26</v>
      </c>
      <c r="H27" t="str">
        <f>VLOOKUP(A27,'[1]All Publications'!$C$2:$I$439,7,FALSE)</f>
        <v>S4</v>
      </c>
    </row>
    <row r="28" spans="1:8" x14ac:dyDescent="0.35">
      <c r="A28" t="s">
        <v>624</v>
      </c>
      <c r="B28" t="s">
        <v>818</v>
      </c>
      <c r="D28">
        <v>2024</v>
      </c>
      <c r="E28" t="s">
        <v>1052</v>
      </c>
      <c r="F28" t="s">
        <v>1021</v>
      </c>
      <c r="G28">
        <v>27</v>
      </c>
      <c r="H28" t="str">
        <f>VLOOKUP(A28,'[1]All Publications'!$C$2:$I$439,7,FALSE)</f>
        <v>-</v>
      </c>
    </row>
    <row r="29" spans="1:8" x14ac:dyDescent="0.35">
      <c r="A29" t="s">
        <v>625</v>
      </c>
      <c r="B29" t="s">
        <v>831</v>
      </c>
      <c r="D29">
        <v>2024</v>
      </c>
      <c r="E29" t="s">
        <v>1053</v>
      </c>
      <c r="F29" t="s">
        <v>1018</v>
      </c>
      <c r="G29">
        <v>28</v>
      </c>
      <c r="H29" t="str">
        <f>VLOOKUP(A29,'[1]All Publications'!$C$2:$I$439,7,FALSE)</f>
        <v>S4</v>
      </c>
    </row>
    <row r="30" spans="1:8" x14ac:dyDescent="0.35">
      <c r="A30" t="s">
        <v>626</v>
      </c>
      <c r="B30" t="s">
        <v>832</v>
      </c>
      <c r="D30">
        <v>2024</v>
      </c>
      <c r="E30" t="s">
        <v>1054</v>
      </c>
      <c r="F30" t="s">
        <v>1023</v>
      </c>
      <c r="G30">
        <v>29</v>
      </c>
      <c r="H30" t="str">
        <f>VLOOKUP(A30,'[1]All Publications'!$C$2:$I$439,7,FALSE)</f>
        <v>-</v>
      </c>
    </row>
    <row r="31" spans="1:8" x14ac:dyDescent="0.35">
      <c r="A31" t="s">
        <v>627</v>
      </c>
      <c r="B31" t="s">
        <v>833</v>
      </c>
      <c r="D31">
        <v>2023</v>
      </c>
      <c r="E31" t="s">
        <v>1055</v>
      </c>
      <c r="F31" t="s">
        <v>1023</v>
      </c>
      <c r="G31">
        <v>30</v>
      </c>
      <c r="H31" t="str">
        <f>VLOOKUP(A31,'[1]All Publications'!$C$2:$I$439,7,FALSE)</f>
        <v>S3-S5</v>
      </c>
    </row>
    <row r="32" spans="1:8" x14ac:dyDescent="0.35">
      <c r="A32" t="s">
        <v>492</v>
      </c>
      <c r="B32" t="s">
        <v>818</v>
      </c>
      <c r="D32">
        <v>2023</v>
      </c>
      <c r="E32" t="s">
        <v>1056</v>
      </c>
      <c r="F32" t="s">
        <v>1021</v>
      </c>
      <c r="G32">
        <v>31</v>
      </c>
      <c r="H32" t="str">
        <f>VLOOKUP(A32,'[1]All Publications'!$C$2:$I$439,7,FALSE)</f>
        <v>-</v>
      </c>
    </row>
    <row r="33" spans="1:8" x14ac:dyDescent="0.35">
      <c r="A33" t="s">
        <v>628</v>
      </c>
      <c r="B33" t="s">
        <v>834</v>
      </c>
      <c r="D33">
        <v>2023</v>
      </c>
      <c r="E33" t="s">
        <v>1057</v>
      </c>
      <c r="F33" t="s">
        <v>1018</v>
      </c>
      <c r="G33">
        <v>32</v>
      </c>
      <c r="H33" t="str">
        <f>VLOOKUP(A33,'[1]All Publications'!$C$2:$I$439,7,FALSE)</f>
        <v>S2</v>
      </c>
    </row>
    <row r="34" spans="1:8" x14ac:dyDescent="0.35">
      <c r="A34" t="s">
        <v>629</v>
      </c>
      <c r="B34" t="s">
        <v>835</v>
      </c>
      <c r="D34">
        <v>2023</v>
      </c>
      <c r="E34" t="s">
        <v>1058</v>
      </c>
      <c r="F34" t="s">
        <v>1018</v>
      </c>
      <c r="G34">
        <v>33</v>
      </c>
      <c r="H34" t="str">
        <f>VLOOKUP(A34,'[1]All Publications'!$C$2:$I$439,7,FALSE)</f>
        <v>S4</v>
      </c>
    </row>
    <row r="35" spans="1:8" x14ac:dyDescent="0.35">
      <c r="A35" t="s">
        <v>491</v>
      </c>
      <c r="B35" t="s">
        <v>819</v>
      </c>
      <c r="D35">
        <v>2023</v>
      </c>
      <c r="E35" t="s">
        <v>1059</v>
      </c>
      <c r="F35" t="s">
        <v>1021</v>
      </c>
      <c r="G35">
        <v>34</v>
      </c>
      <c r="H35" t="str">
        <f>VLOOKUP(A35,'[1]All Publications'!$C$2:$I$439,7,FALSE)</f>
        <v>-</v>
      </c>
    </row>
    <row r="36" spans="1:8" x14ac:dyDescent="0.35">
      <c r="A36" t="s">
        <v>630</v>
      </c>
      <c r="B36" t="s">
        <v>836</v>
      </c>
      <c r="D36">
        <v>2022</v>
      </c>
      <c r="E36" t="s">
        <v>1060</v>
      </c>
      <c r="F36" t="s">
        <v>1023</v>
      </c>
      <c r="G36">
        <v>35</v>
      </c>
      <c r="H36" t="str">
        <f>VLOOKUP(A36,'[1]All Publications'!$C$2:$I$439,7,FALSE)</f>
        <v>S3-S5</v>
      </c>
    </row>
    <row r="37" spans="1:8" x14ac:dyDescent="0.35">
      <c r="A37" t="s">
        <v>631</v>
      </c>
      <c r="B37" t="s">
        <v>837</v>
      </c>
      <c r="D37">
        <v>2026</v>
      </c>
      <c r="E37" t="s">
        <v>1061</v>
      </c>
      <c r="F37" t="s">
        <v>1020</v>
      </c>
      <c r="G37">
        <v>36</v>
      </c>
      <c r="H37" t="str">
        <f>VLOOKUP(A37,'[1]All Publications'!$C$2:$I$439,7,FALSE)</f>
        <v>S3-S5</v>
      </c>
    </row>
    <row r="38" spans="1:8" x14ac:dyDescent="0.35">
      <c r="A38" t="s">
        <v>632</v>
      </c>
      <c r="B38" t="s">
        <v>818</v>
      </c>
      <c r="D38">
        <v>2025</v>
      </c>
      <c r="E38" t="s">
        <v>1062</v>
      </c>
      <c r="F38" t="s">
        <v>1018</v>
      </c>
      <c r="G38">
        <v>37</v>
      </c>
      <c r="H38" t="str">
        <f>VLOOKUP(A38,'[1]All Publications'!$C$2:$I$439,7,FALSE)</f>
        <v>-</v>
      </c>
    </row>
    <row r="39" spans="1:8" x14ac:dyDescent="0.35">
      <c r="A39" t="s">
        <v>633</v>
      </c>
      <c r="B39" t="s">
        <v>818</v>
      </c>
      <c r="D39">
        <v>2025</v>
      </c>
      <c r="E39" t="s">
        <v>1063</v>
      </c>
      <c r="F39" t="s">
        <v>1018</v>
      </c>
      <c r="G39">
        <v>38</v>
      </c>
      <c r="H39" t="str">
        <f>VLOOKUP(A39,'[1]All Publications'!$C$2:$I$439,7,FALSE)</f>
        <v>-</v>
      </c>
    </row>
    <row r="40" spans="1:8" x14ac:dyDescent="0.35">
      <c r="A40" t="s">
        <v>634</v>
      </c>
      <c r="B40" t="s">
        <v>838</v>
      </c>
      <c r="D40">
        <v>2025</v>
      </c>
      <c r="E40" t="s">
        <v>1064</v>
      </c>
      <c r="F40" t="s">
        <v>1018</v>
      </c>
      <c r="G40">
        <v>39</v>
      </c>
      <c r="H40" t="str">
        <f>VLOOKUP(A40,'[1]All Publications'!$C$2:$I$439,7,FALSE)</f>
        <v>S4</v>
      </c>
    </row>
    <row r="41" spans="1:8" x14ac:dyDescent="0.35">
      <c r="A41" t="s">
        <v>635</v>
      </c>
      <c r="B41" t="s">
        <v>839</v>
      </c>
      <c r="D41">
        <v>2025</v>
      </c>
      <c r="E41" t="s">
        <v>1065</v>
      </c>
      <c r="F41" t="s">
        <v>1018</v>
      </c>
      <c r="G41">
        <v>40</v>
      </c>
      <c r="H41" t="str">
        <f>VLOOKUP(A41,'[1]All Publications'!$C$2:$I$439,7,FALSE)</f>
        <v>S4</v>
      </c>
    </row>
    <row r="42" spans="1:8" x14ac:dyDescent="0.35">
      <c r="A42" t="s">
        <v>636</v>
      </c>
      <c r="B42" t="s">
        <v>840</v>
      </c>
      <c r="D42">
        <v>2025</v>
      </c>
      <c r="E42" t="s">
        <v>1066</v>
      </c>
      <c r="F42" t="s">
        <v>1018</v>
      </c>
      <c r="G42">
        <v>41</v>
      </c>
      <c r="H42" t="str">
        <f>VLOOKUP(A42,'[1]All Publications'!$C$2:$I$439,7,FALSE)</f>
        <v>S3</v>
      </c>
    </row>
    <row r="43" spans="1:8" x14ac:dyDescent="0.35">
      <c r="A43" t="s">
        <v>637</v>
      </c>
      <c r="B43" t="s">
        <v>841</v>
      </c>
      <c r="D43">
        <v>2025</v>
      </c>
      <c r="E43" t="s">
        <v>1067</v>
      </c>
      <c r="F43" t="s">
        <v>1018</v>
      </c>
      <c r="G43">
        <v>42</v>
      </c>
      <c r="H43" t="str">
        <f>VLOOKUP(A43,'[1]All Publications'!$C$2:$I$439,7,FALSE)</f>
        <v>S3</v>
      </c>
    </row>
    <row r="44" spans="1:8" x14ac:dyDescent="0.35">
      <c r="A44" t="s">
        <v>638</v>
      </c>
      <c r="B44" t="s">
        <v>842</v>
      </c>
      <c r="D44">
        <v>2025</v>
      </c>
      <c r="E44" t="s">
        <v>1068</v>
      </c>
      <c r="F44" t="s">
        <v>1021</v>
      </c>
      <c r="G44">
        <v>43</v>
      </c>
      <c r="H44" t="str">
        <f>VLOOKUP(A44,'[1]All Publications'!$C$2:$I$439,7,FALSE)</f>
        <v>-</v>
      </c>
    </row>
    <row r="45" spans="1:8" x14ac:dyDescent="0.35">
      <c r="A45" t="s">
        <v>639</v>
      </c>
      <c r="B45" t="s">
        <v>818</v>
      </c>
      <c r="D45">
        <v>2025</v>
      </c>
      <c r="E45" t="s">
        <v>1069</v>
      </c>
      <c r="F45" t="s">
        <v>1021</v>
      </c>
      <c r="G45">
        <v>44</v>
      </c>
      <c r="H45" t="str">
        <f>VLOOKUP(A45,'[1]All Publications'!$C$2:$I$439,7,FALSE)</f>
        <v>-</v>
      </c>
    </row>
    <row r="46" spans="1:8" x14ac:dyDescent="0.35">
      <c r="A46" t="s">
        <v>640</v>
      </c>
      <c r="B46" t="s">
        <v>842</v>
      </c>
      <c r="D46">
        <v>2025</v>
      </c>
      <c r="E46" t="s">
        <v>1070</v>
      </c>
      <c r="F46" t="s">
        <v>1021</v>
      </c>
      <c r="G46">
        <v>45</v>
      </c>
      <c r="H46" t="str">
        <f>VLOOKUP(A46,'[1]All Publications'!$C$2:$I$439,7,FALSE)</f>
        <v>-</v>
      </c>
    </row>
    <row r="47" spans="1:8" x14ac:dyDescent="0.35">
      <c r="A47" t="s">
        <v>641</v>
      </c>
      <c r="B47" t="s">
        <v>843</v>
      </c>
      <c r="D47">
        <v>2024</v>
      </c>
      <c r="E47" t="s">
        <v>1071</v>
      </c>
      <c r="F47" t="s">
        <v>1023</v>
      </c>
      <c r="G47">
        <v>46</v>
      </c>
      <c r="H47" t="str">
        <f>VLOOKUP(A47,'[1]All Publications'!$C$2:$I$439,7,FALSE)</f>
        <v>-</v>
      </c>
    </row>
    <row r="48" spans="1:8" x14ac:dyDescent="0.35">
      <c r="A48" t="s">
        <v>642</v>
      </c>
      <c r="B48" t="s">
        <v>844</v>
      </c>
      <c r="D48">
        <v>2024</v>
      </c>
      <c r="E48" t="s">
        <v>1072</v>
      </c>
      <c r="F48" t="s">
        <v>1023</v>
      </c>
      <c r="G48">
        <v>47</v>
      </c>
      <c r="H48" t="str">
        <f>VLOOKUP(A48,'[1]All Publications'!$C$2:$I$439,7,FALSE)</f>
        <v>-</v>
      </c>
    </row>
    <row r="49" spans="1:8" x14ac:dyDescent="0.35">
      <c r="A49" t="s">
        <v>487</v>
      </c>
      <c r="B49" t="s">
        <v>818</v>
      </c>
      <c r="D49">
        <v>2024</v>
      </c>
      <c r="E49" t="s">
        <v>1073</v>
      </c>
      <c r="F49" t="s">
        <v>1021</v>
      </c>
      <c r="G49">
        <v>48</v>
      </c>
      <c r="H49" t="str">
        <f>VLOOKUP(A49,'[1]All Publications'!$C$2:$I$439,7,FALSE)</f>
        <v>-</v>
      </c>
    </row>
    <row r="50" spans="1:8" x14ac:dyDescent="0.35">
      <c r="A50" t="s">
        <v>643</v>
      </c>
      <c r="B50" t="s">
        <v>845</v>
      </c>
      <c r="D50">
        <v>2024</v>
      </c>
      <c r="E50" t="s">
        <v>1074</v>
      </c>
      <c r="F50" t="s">
        <v>1020</v>
      </c>
      <c r="G50">
        <v>49</v>
      </c>
      <c r="H50" t="str">
        <f>VLOOKUP(A50,'[1]All Publications'!$C$2:$I$439,7,FALSE)</f>
        <v>S3-S5</v>
      </c>
    </row>
    <row r="51" spans="1:8" x14ac:dyDescent="0.35">
      <c r="A51" t="s">
        <v>644</v>
      </c>
      <c r="B51" t="s">
        <v>846</v>
      </c>
      <c r="D51">
        <v>2024</v>
      </c>
      <c r="E51" t="s">
        <v>1075</v>
      </c>
      <c r="F51" t="s">
        <v>1018</v>
      </c>
      <c r="G51">
        <v>50</v>
      </c>
      <c r="H51" t="str">
        <f>VLOOKUP(A51,'[1]All Publications'!$C$2:$I$439,7,FALSE)</f>
        <v>S4</v>
      </c>
    </row>
    <row r="52" spans="1:8" x14ac:dyDescent="0.35">
      <c r="A52" t="s">
        <v>645</v>
      </c>
      <c r="B52" t="s">
        <v>847</v>
      </c>
      <c r="D52">
        <v>2024</v>
      </c>
      <c r="E52" t="s">
        <v>1076</v>
      </c>
      <c r="F52" t="s">
        <v>1020</v>
      </c>
      <c r="G52">
        <v>51</v>
      </c>
      <c r="H52" t="str">
        <f>VLOOKUP(A52,'[1]All Publications'!$C$2:$I$439,7,FALSE)</f>
        <v>S3-S5</v>
      </c>
    </row>
    <row r="53" spans="1:8" x14ac:dyDescent="0.35">
      <c r="A53" t="s">
        <v>646</v>
      </c>
      <c r="B53" t="s">
        <v>848</v>
      </c>
      <c r="D53">
        <v>2024</v>
      </c>
      <c r="E53" t="s">
        <v>1077</v>
      </c>
      <c r="F53" t="s">
        <v>1018</v>
      </c>
      <c r="G53">
        <v>52</v>
      </c>
      <c r="H53" t="str">
        <f>VLOOKUP(A53,'[1]All Publications'!$C$2:$I$439,7,FALSE)</f>
        <v>S4</v>
      </c>
    </row>
    <row r="54" spans="1:8" x14ac:dyDescent="0.35">
      <c r="A54" t="s">
        <v>647</v>
      </c>
      <c r="B54" t="s">
        <v>849</v>
      </c>
      <c r="D54">
        <v>2024</v>
      </c>
      <c r="E54" t="s">
        <v>1078</v>
      </c>
      <c r="F54" t="s">
        <v>1018</v>
      </c>
      <c r="G54">
        <v>53</v>
      </c>
      <c r="H54" t="str">
        <f>VLOOKUP(A54,'[1]All Publications'!$C$2:$I$439,7,FALSE)</f>
        <v>S4</v>
      </c>
    </row>
    <row r="55" spans="1:8" x14ac:dyDescent="0.35">
      <c r="A55" t="s">
        <v>648</v>
      </c>
      <c r="B55" t="s">
        <v>850</v>
      </c>
      <c r="D55">
        <v>2024</v>
      </c>
      <c r="E55" t="s">
        <v>1079</v>
      </c>
      <c r="F55" t="s">
        <v>1018</v>
      </c>
      <c r="G55">
        <v>54</v>
      </c>
      <c r="H55" t="str">
        <f>VLOOKUP(A55,'[1]All Publications'!$C$2:$I$439,7,FALSE)</f>
        <v>S4</v>
      </c>
    </row>
    <row r="56" spans="1:8" x14ac:dyDescent="0.35">
      <c r="A56" t="s">
        <v>649</v>
      </c>
      <c r="B56" t="s">
        <v>851</v>
      </c>
      <c r="D56">
        <v>2024</v>
      </c>
      <c r="E56" t="s">
        <v>1080</v>
      </c>
      <c r="F56" t="s">
        <v>1023</v>
      </c>
      <c r="G56">
        <v>55</v>
      </c>
      <c r="H56" t="str">
        <f>VLOOKUP(A56,'[1]All Publications'!$C$2:$I$439,7,FALSE)</f>
        <v>-</v>
      </c>
    </row>
    <row r="57" spans="1:8" x14ac:dyDescent="0.35">
      <c r="A57" t="s">
        <v>650</v>
      </c>
      <c r="B57" t="s">
        <v>852</v>
      </c>
      <c r="D57">
        <v>2024</v>
      </c>
      <c r="E57" t="s">
        <v>1081</v>
      </c>
      <c r="F57" t="s">
        <v>1023</v>
      </c>
      <c r="G57">
        <v>56</v>
      </c>
      <c r="H57" t="str">
        <f>VLOOKUP(A57,'[1]All Publications'!$C$2:$I$439,7,FALSE)</f>
        <v>-</v>
      </c>
    </row>
    <row r="58" spans="1:8" x14ac:dyDescent="0.35">
      <c r="A58" t="s">
        <v>651</v>
      </c>
      <c r="B58" t="s">
        <v>853</v>
      </c>
      <c r="D58">
        <v>2024</v>
      </c>
      <c r="E58" t="s">
        <v>1082</v>
      </c>
      <c r="F58" t="s">
        <v>1023</v>
      </c>
      <c r="G58">
        <v>57</v>
      </c>
      <c r="H58" t="str">
        <f>VLOOKUP(A58,'[1]All Publications'!$C$2:$I$439,7,FALSE)</f>
        <v>-</v>
      </c>
    </row>
    <row r="59" spans="1:8" x14ac:dyDescent="0.35">
      <c r="A59" t="s">
        <v>652</v>
      </c>
      <c r="B59" t="s">
        <v>854</v>
      </c>
      <c r="D59">
        <v>2024</v>
      </c>
      <c r="E59" t="s">
        <v>1083</v>
      </c>
      <c r="F59" t="s">
        <v>1023</v>
      </c>
      <c r="G59">
        <v>58</v>
      </c>
      <c r="H59" t="str">
        <f>VLOOKUP(A59,'[1]All Publications'!$C$2:$I$439,7,FALSE)</f>
        <v>-</v>
      </c>
    </row>
    <row r="60" spans="1:8" x14ac:dyDescent="0.35">
      <c r="A60" t="s">
        <v>653</v>
      </c>
      <c r="B60" t="s">
        <v>818</v>
      </c>
      <c r="D60">
        <v>2023</v>
      </c>
      <c r="E60" t="s">
        <v>1084</v>
      </c>
      <c r="F60" t="s">
        <v>1022</v>
      </c>
      <c r="G60">
        <v>59</v>
      </c>
      <c r="H60" t="str">
        <f>VLOOKUP(A60,'[1]All Publications'!$C$2:$I$439,7,FALSE)</f>
        <v>-</v>
      </c>
    </row>
    <row r="61" spans="1:8" x14ac:dyDescent="0.35">
      <c r="A61" t="s">
        <v>654</v>
      </c>
      <c r="B61" t="s">
        <v>818</v>
      </c>
      <c r="D61">
        <v>2023</v>
      </c>
      <c r="E61" t="s">
        <v>1085</v>
      </c>
      <c r="F61" t="s">
        <v>1018</v>
      </c>
      <c r="G61">
        <v>60</v>
      </c>
      <c r="H61" t="str">
        <f>VLOOKUP(A61,'[1]All Publications'!$C$2:$I$439,7,FALSE)</f>
        <v>-</v>
      </c>
    </row>
    <row r="62" spans="1:8" x14ac:dyDescent="0.35">
      <c r="A62" t="s">
        <v>655</v>
      </c>
      <c r="B62" t="s">
        <v>834</v>
      </c>
      <c r="D62">
        <v>2023</v>
      </c>
      <c r="E62" t="s">
        <v>1086</v>
      </c>
      <c r="F62" t="s">
        <v>1019</v>
      </c>
      <c r="G62">
        <v>61</v>
      </c>
      <c r="H62" t="str">
        <f>VLOOKUP(A62,'[1]All Publications'!$C$2:$I$439,7,FALSE)</f>
        <v>-</v>
      </c>
    </row>
    <row r="63" spans="1:8" x14ac:dyDescent="0.35">
      <c r="A63" t="s">
        <v>656</v>
      </c>
      <c r="B63" t="s">
        <v>818</v>
      </c>
      <c r="D63">
        <v>2023</v>
      </c>
      <c r="E63" t="s">
        <v>1087</v>
      </c>
      <c r="F63" t="s">
        <v>1018</v>
      </c>
      <c r="G63">
        <v>62</v>
      </c>
      <c r="H63" t="str">
        <f>VLOOKUP(A63,'[1]All Publications'!$C$2:$I$439,7,FALSE)</f>
        <v>-</v>
      </c>
    </row>
    <row r="64" spans="1:8" x14ac:dyDescent="0.35">
      <c r="A64" t="s">
        <v>657</v>
      </c>
      <c r="B64" t="s">
        <v>855</v>
      </c>
      <c r="D64">
        <v>2023</v>
      </c>
      <c r="E64" t="s">
        <v>1088</v>
      </c>
      <c r="F64" t="s">
        <v>1018</v>
      </c>
      <c r="G64">
        <v>63</v>
      </c>
      <c r="H64" t="str">
        <f>VLOOKUP(A64,'[1]All Publications'!$C$2:$I$439,7,FALSE)</f>
        <v>S2</v>
      </c>
    </row>
    <row r="65" spans="1:8" x14ac:dyDescent="0.35">
      <c r="A65" t="s">
        <v>658</v>
      </c>
      <c r="B65" t="s">
        <v>856</v>
      </c>
      <c r="D65">
        <v>2023</v>
      </c>
      <c r="E65" t="s">
        <v>1089</v>
      </c>
      <c r="F65" t="s">
        <v>1023</v>
      </c>
      <c r="G65">
        <v>64</v>
      </c>
      <c r="H65" t="str">
        <f>VLOOKUP(A65,'[1]All Publications'!$C$2:$I$439,7,FALSE)</f>
        <v>-</v>
      </c>
    </row>
    <row r="66" spans="1:8" x14ac:dyDescent="0.35">
      <c r="A66" t="s">
        <v>659</v>
      </c>
      <c r="B66" t="s">
        <v>857</v>
      </c>
      <c r="D66">
        <v>2023</v>
      </c>
      <c r="E66" t="s">
        <v>1090</v>
      </c>
      <c r="F66" t="s">
        <v>1023</v>
      </c>
      <c r="G66">
        <v>65</v>
      </c>
      <c r="H66" t="str">
        <f>VLOOKUP(A66,'[1]All Publications'!$C$2:$I$439,7,FALSE)</f>
        <v>-</v>
      </c>
    </row>
    <row r="67" spans="1:8" x14ac:dyDescent="0.35">
      <c r="A67" t="s">
        <v>660</v>
      </c>
      <c r="B67" t="s">
        <v>818</v>
      </c>
      <c r="D67">
        <v>2022</v>
      </c>
      <c r="E67" t="s">
        <v>1091</v>
      </c>
      <c r="F67" t="s">
        <v>1022</v>
      </c>
      <c r="G67">
        <v>66</v>
      </c>
      <c r="H67" t="str">
        <f>VLOOKUP(A67,'[1]All Publications'!$C$2:$I$439,7,FALSE)</f>
        <v>S3-S5</v>
      </c>
    </row>
    <row r="68" spans="1:8" x14ac:dyDescent="0.35">
      <c r="A68" t="s">
        <v>660</v>
      </c>
      <c r="B68" t="s">
        <v>858</v>
      </c>
      <c r="D68">
        <v>2022</v>
      </c>
      <c r="E68" t="s">
        <v>1092</v>
      </c>
      <c r="F68" t="s">
        <v>1024</v>
      </c>
      <c r="G68">
        <v>67</v>
      </c>
      <c r="H68" t="str">
        <f>VLOOKUP(A68,'[1]All Publications'!$C$2:$I$439,7,FALSE)</f>
        <v>S3-S5</v>
      </c>
    </row>
    <row r="69" spans="1:8" x14ac:dyDescent="0.35">
      <c r="A69" t="s">
        <v>661</v>
      </c>
      <c r="B69" t="s">
        <v>859</v>
      </c>
      <c r="D69">
        <v>2022</v>
      </c>
      <c r="E69" t="s">
        <v>1093</v>
      </c>
      <c r="F69" t="s">
        <v>1022</v>
      </c>
      <c r="G69">
        <v>68</v>
      </c>
      <c r="H69" t="str">
        <f>VLOOKUP(A69,'[1]All Publications'!$C$2:$I$439,7,FALSE)</f>
        <v>-</v>
      </c>
    </row>
    <row r="70" spans="1:8" x14ac:dyDescent="0.35">
      <c r="A70" t="s">
        <v>662</v>
      </c>
      <c r="B70" t="s">
        <v>818</v>
      </c>
      <c r="D70">
        <v>2022</v>
      </c>
      <c r="E70" t="s">
        <v>1094</v>
      </c>
      <c r="F70" t="s">
        <v>1024</v>
      </c>
      <c r="G70">
        <v>69</v>
      </c>
      <c r="H70" t="str">
        <f>VLOOKUP(A70,'[1]All Publications'!$C$2:$I$439,7,FALSE)</f>
        <v>-</v>
      </c>
    </row>
    <row r="71" spans="1:8" x14ac:dyDescent="0.35">
      <c r="A71" t="s">
        <v>663</v>
      </c>
      <c r="B71" t="s">
        <v>818</v>
      </c>
      <c r="D71">
        <v>2022</v>
      </c>
      <c r="E71" t="s">
        <v>1095</v>
      </c>
      <c r="F71" t="s">
        <v>1018</v>
      </c>
      <c r="G71">
        <v>70</v>
      </c>
      <c r="H71" t="str">
        <f>VLOOKUP(A71,'[1]All Publications'!$C$2:$I$439,7,FALSE)</f>
        <v>S4</v>
      </c>
    </row>
    <row r="72" spans="1:8" x14ac:dyDescent="0.35">
      <c r="A72" t="s">
        <v>664</v>
      </c>
      <c r="B72" t="s">
        <v>848</v>
      </c>
      <c r="D72">
        <v>2022</v>
      </c>
      <c r="E72" t="s">
        <v>1096</v>
      </c>
      <c r="F72" t="s">
        <v>1018</v>
      </c>
      <c r="G72">
        <v>71</v>
      </c>
      <c r="H72" t="str">
        <f>VLOOKUP(A72,'[1]All Publications'!$C$2:$I$439,7,FALSE)</f>
        <v>S4</v>
      </c>
    </row>
    <row r="73" spans="1:8" x14ac:dyDescent="0.35">
      <c r="A73" t="s">
        <v>665</v>
      </c>
      <c r="B73" t="s">
        <v>848</v>
      </c>
      <c r="D73">
        <v>2022</v>
      </c>
      <c r="E73" t="s">
        <v>1097</v>
      </c>
      <c r="F73" t="s">
        <v>1018</v>
      </c>
      <c r="G73">
        <v>72</v>
      </c>
      <c r="H73" t="str">
        <f>VLOOKUP(A73,'[1]All Publications'!$C$2:$I$439,7,FALSE)</f>
        <v>S4</v>
      </c>
    </row>
    <row r="74" spans="1:8" x14ac:dyDescent="0.35">
      <c r="A74" t="s">
        <v>666</v>
      </c>
      <c r="B74" t="s">
        <v>818</v>
      </c>
      <c r="D74">
        <v>2022</v>
      </c>
      <c r="E74" t="s">
        <v>1098</v>
      </c>
      <c r="F74" t="s">
        <v>1018</v>
      </c>
      <c r="G74">
        <v>73</v>
      </c>
      <c r="H74" t="str">
        <f>VLOOKUP(A74,'[1]All Publications'!$C$2:$I$439,7,FALSE)</f>
        <v>S4</v>
      </c>
    </row>
    <row r="75" spans="1:8" x14ac:dyDescent="0.35">
      <c r="A75" t="s">
        <v>667</v>
      </c>
      <c r="B75" t="s">
        <v>818</v>
      </c>
      <c r="D75">
        <v>2022</v>
      </c>
      <c r="E75" t="s">
        <v>1099</v>
      </c>
      <c r="F75" t="s">
        <v>1018</v>
      </c>
      <c r="G75">
        <v>74</v>
      </c>
      <c r="H75" t="str">
        <f>VLOOKUP(A75,'[1]All Publications'!$C$2:$I$439,7,FALSE)</f>
        <v>S4</v>
      </c>
    </row>
    <row r="76" spans="1:8" x14ac:dyDescent="0.35">
      <c r="A76" t="s">
        <v>668</v>
      </c>
      <c r="B76" t="s">
        <v>860</v>
      </c>
      <c r="D76">
        <v>2022</v>
      </c>
      <c r="E76" t="s">
        <v>1100</v>
      </c>
      <c r="F76" t="s">
        <v>1023</v>
      </c>
      <c r="G76">
        <v>75</v>
      </c>
      <c r="H76" t="str">
        <f>VLOOKUP(A76,'[1]All Publications'!$C$2:$I$439,7,FALSE)</f>
        <v>-</v>
      </c>
    </row>
    <row r="77" spans="1:8" x14ac:dyDescent="0.35">
      <c r="A77" t="s">
        <v>669</v>
      </c>
      <c r="B77" t="s">
        <v>818</v>
      </c>
      <c r="D77">
        <v>2021</v>
      </c>
      <c r="E77" t="s">
        <v>1101</v>
      </c>
      <c r="F77" t="s">
        <v>1018</v>
      </c>
      <c r="G77">
        <v>76</v>
      </c>
      <c r="H77" t="str">
        <f>VLOOKUP(A77,'[1]All Publications'!$C$2:$I$439,7,FALSE)</f>
        <v>-</v>
      </c>
    </row>
    <row r="78" spans="1:8" x14ac:dyDescent="0.35">
      <c r="A78" t="s">
        <v>670</v>
      </c>
      <c r="B78" t="s">
        <v>818</v>
      </c>
      <c r="D78">
        <v>2020</v>
      </c>
      <c r="E78" t="s">
        <v>1102</v>
      </c>
      <c r="F78" t="s">
        <v>1023</v>
      </c>
      <c r="G78">
        <v>77</v>
      </c>
      <c r="H78" t="str">
        <f>VLOOKUP(A78,'[1]All Publications'!$C$2:$I$439,7,FALSE)</f>
        <v>S3-S5</v>
      </c>
    </row>
    <row r="79" spans="1:8" x14ac:dyDescent="0.35">
      <c r="A79" t="s">
        <v>671</v>
      </c>
      <c r="B79" t="s">
        <v>861</v>
      </c>
      <c r="D79">
        <v>2020</v>
      </c>
      <c r="E79" t="s">
        <v>1103</v>
      </c>
      <c r="F79" t="s">
        <v>1018</v>
      </c>
      <c r="G79">
        <v>78</v>
      </c>
      <c r="H79" t="str">
        <f>VLOOKUP(A79,'[1]All Publications'!$C$2:$I$439,7,FALSE)</f>
        <v>-</v>
      </c>
    </row>
    <row r="80" spans="1:8" x14ac:dyDescent="0.35">
      <c r="A80" t="s">
        <v>672</v>
      </c>
      <c r="B80" t="s">
        <v>862</v>
      </c>
      <c r="D80">
        <v>2023</v>
      </c>
      <c r="E80" t="s">
        <v>1104</v>
      </c>
      <c r="F80" t="s">
        <v>1018</v>
      </c>
      <c r="G80">
        <v>79</v>
      </c>
      <c r="H80" t="str">
        <f>VLOOKUP(A80,'[1]All Publications'!$C$2:$I$439,7,FALSE)</f>
        <v>S1</v>
      </c>
    </row>
    <row r="81" spans="1:8" x14ac:dyDescent="0.35">
      <c r="A81" t="s">
        <v>673</v>
      </c>
      <c r="B81" t="s">
        <v>863</v>
      </c>
      <c r="D81">
        <v>2020</v>
      </c>
      <c r="E81" t="s">
        <v>1105</v>
      </c>
      <c r="F81" t="s">
        <v>1019</v>
      </c>
      <c r="G81">
        <v>80</v>
      </c>
      <c r="H81" t="str">
        <f>VLOOKUP(A81,'[1]All Publications'!$C$2:$I$439,7,FALSE)</f>
        <v>-</v>
      </c>
    </row>
    <row r="82" spans="1:8" x14ac:dyDescent="0.35">
      <c r="A82" t="s">
        <v>674</v>
      </c>
      <c r="B82" t="s">
        <v>864</v>
      </c>
      <c r="D82">
        <v>2023</v>
      </c>
      <c r="E82" t="s">
        <v>1106</v>
      </c>
      <c r="F82" t="s">
        <v>1018</v>
      </c>
      <c r="G82">
        <v>81</v>
      </c>
      <c r="H82" t="str">
        <f>VLOOKUP(A82,'[1]All Publications'!$C$2:$I$439,7,FALSE)</f>
        <v>-</v>
      </c>
    </row>
    <row r="83" spans="1:8" x14ac:dyDescent="0.35">
      <c r="A83" t="s">
        <v>501</v>
      </c>
      <c r="B83" t="s">
        <v>865</v>
      </c>
      <c r="D83">
        <v>2021</v>
      </c>
      <c r="E83" t="s">
        <v>1107</v>
      </c>
      <c r="F83" t="s">
        <v>1019</v>
      </c>
      <c r="G83">
        <v>82</v>
      </c>
      <c r="H83" t="str">
        <f>VLOOKUP(A83,'[1]All Publications'!$C$2:$I$439,7,FALSE)</f>
        <v>-</v>
      </c>
    </row>
    <row r="84" spans="1:8" x14ac:dyDescent="0.35">
      <c r="A84" t="s">
        <v>675</v>
      </c>
      <c r="B84" t="s">
        <v>866</v>
      </c>
      <c r="D84">
        <v>2023</v>
      </c>
      <c r="E84" t="s">
        <v>1108</v>
      </c>
      <c r="F84" t="s">
        <v>1018</v>
      </c>
      <c r="G84">
        <v>83</v>
      </c>
      <c r="H84" t="str">
        <f>VLOOKUP(A84,'[1]All Publications'!$C$2:$I$439,7,FALSE)</f>
        <v>-</v>
      </c>
    </row>
    <row r="85" spans="1:8" x14ac:dyDescent="0.35">
      <c r="A85" t="s">
        <v>676</v>
      </c>
      <c r="B85" t="s">
        <v>867</v>
      </c>
      <c r="D85">
        <v>2024</v>
      </c>
      <c r="E85" t="s">
        <v>1109</v>
      </c>
      <c r="F85" t="s">
        <v>1021</v>
      </c>
      <c r="G85">
        <v>84</v>
      </c>
      <c r="H85" t="str">
        <f>VLOOKUP(A85,'[1]All Publications'!$C$2:$I$439,7,FALSE)</f>
        <v>-</v>
      </c>
    </row>
    <row r="86" spans="1:8" x14ac:dyDescent="0.35">
      <c r="A86" t="s">
        <v>677</v>
      </c>
      <c r="B86" t="s">
        <v>868</v>
      </c>
      <c r="D86">
        <v>2024</v>
      </c>
      <c r="E86" t="s">
        <v>1110</v>
      </c>
      <c r="F86" t="s">
        <v>1018</v>
      </c>
      <c r="G86">
        <v>85</v>
      </c>
      <c r="H86" t="str">
        <f>VLOOKUP(A86,'[1]All Publications'!$C$2:$I$439,7,FALSE)</f>
        <v>S3</v>
      </c>
    </row>
    <row r="87" spans="1:8" x14ac:dyDescent="0.35">
      <c r="A87" t="s">
        <v>678</v>
      </c>
      <c r="B87" t="s">
        <v>869</v>
      </c>
      <c r="D87">
        <v>2022</v>
      </c>
      <c r="E87" t="s">
        <v>1111</v>
      </c>
      <c r="F87" t="s">
        <v>1023</v>
      </c>
      <c r="G87">
        <v>86</v>
      </c>
      <c r="H87" t="str">
        <f>VLOOKUP(A87,'[1]All Publications'!$C$2:$I$439,7,FALSE)</f>
        <v>S3-S5</v>
      </c>
    </row>
    <row r="88" spans="1:8" x14ac:dyDescent="0.35">
      <c r="A88" t="s">
        <v>505</v>
      </c>
      <c r="B88" t="s">
        <v>870</v>
      </c>
      <c r="D88">
        <v>2022</v>
      </c>
      <c r="E88" t="s">
        <v>1112</v>
      </c>
      <c r="F88" t="s">
        <v>1019</v>
      </c>
      <c r="G88">
        <v>87</v>
      </c>
      <c r="H88" t="str">
        <f>VLOOKUP(A88,'[1]All Publications'!$C$2:$I$439,7,FALSE)</f>
        <v>-</v>
      </c>
    </row>
    <row r="89" spans="1:8" x14ac:dyDescent="0.35">
      <c r="A89" t="s">
        <v>679</v>
      </c>
      <c r="B89" t="s">
        <v>871</v>
      </c>
      <c r="D89">
        <v>2021</v>
      </c>
      <c r="E89" t="s">
        <v>1113</v>
      </c>
      <c r="F89" t="s">
        <v>1018</v>
      </c>
      <c r="G89">
        <v>88</v>
      </c>
      <c r="H89" t="str">
        <f>VLOOKUP(A89,'[1]All Publications'!$C$2:$I$439,7,FALSE)</f>
        <v>S3</v>
      </c>
    </row>
    <row r="90" spans="1:8" x14ac:dyDescent="0.35">
      <c r="A90" t="s">
        <v>502</v>
      </c>
      <c r="B90" t="s">
        <v>873</v>
      </c>
      <c r="D90">
        <v>2024</v>
      </c>
      <c r="E90" t="s">
        <v>1114</v>
      </c>
      <c r="F90" t="s">
        <v>1021</v>
      </c>
      <c r="G90">
        <v>89</v>
      </c>
      <c r="H90" t="str">
        <f>VLOOKUP(A90,'[1]All Publications'!$C$2:$I$439,7,FALSE)</f>
        <v>-</v>
      </c>
    </row>
    <row r="91" spans="1:8" x14ac:dyDescent="0.35">
      <c r="A91" t="s">
        <v>504</v>
      </c>
      <c r="B91" t="s">
        <v>874</v>
      </c>
      <c r="D91">
        <v>2023</v>
      </c>
      <c r="E91" t="s">
        <v>1115</v>
      </c>
      <c r="F91" t="s">
        <v>1021</v>
      </c>
      <c r="G91">
        <v>90</v>
      </c>
      <c r="H91" t="str">
        <f>VLOOKUP(A91,'[1]All Publications'!$C$2:$I$439,7,FALSE)</f>
        <v>-</v>
      </c>
    </row>
    <row r="92" spans="1:8" x14ac:dyDescent="0.35">
      <c r="A92" t="s">
        <v>680</v>
      </c>
      <c r="B92" t="s">
        <v>869</v>
      </c>
      <c r="D92">
        <v>2023</v>
      </c>
      <c r="E92" t="s">
        <v>1116</v>
      </c>
      <c r="F92" t="s">
        <v>1020</v>
      </c>
      <c r="G92">
        <v>91</v>
      </c>
      <c r="H92" t="str">
        <f>VLOOKUP(A92,'[1]All Publications'!$C$2:$I$439,7,FALSE)</f>
        <v>S3-S5</v>
      </c>
    </row>
    <row r="93" spans="1:8" x14ac:dyDescent="0.35">
      <c r="A93" t="s">
        <v>681</v>
      </c>
      <c r="B93" t="s">
        <v>862</v>
      </c>
      <c r="D93">
        <v>2022</v>
      </c>
      <c r="E93" t="s">
        <v>1117</v>
      </c>
      <c r="F93" t="s">
        <v>1018</v>
      </c>
      <c r="G93">
        <v>92</v>
      </c>
      <c r="H93" t="str">
        <f>VLOOKUP(A93,'[1]All Publications'!$C$2:$I$439,7,FALSE)</f>
        <v>S2</v>
      </c>
    </row>
    <row r="94" spans="1:8" x14ac:dyDescent="0.35">
      <c r="A94" t="s">
        <v>506</v>
      </c>
      <c r="B94" t="s">
        <v>875</v>
      </c>
      <c r="D94">
        <v>2021</v>
      </c>
      <c r="E94" t="s">
        <v>1118</v>
      </c>
      <c r="F94" t="s">
        <v>1021</v>
      </c>
      <c r="G94">
        <v>93</v>
      </c>
      <c r="H94" t="str">
        <f>VLOOKUP(A94,'[1]All Publications'!$C$2:$I$439,7,FALSE)</f>
        <v>-</v>
      </c>
    </row>
    <row r="95" spans="1:8" x14ac:dyDescent="0.35">
      <c r="A95" t="s">
        <v>682</v>
      </c>
      <c r="B95" t="s">
        <v>876</v>
      </c>
      <c r="D95">
        <v>2026</v>
      </c>
      <c r="E95" t="s">
        <v>1119</v>
      </c>
      <c r="F95" t="s">
        <v>1018</v>
      </c>
      <c r="G95">
        <v>94</v>
      </c>
      <c r="H95" t="str">
        <f>VLOOKUP(A95,'[1]All Publications'!$C$2:$I$439,7,FALSE)</f>
        <v>S3</v>
      </c>
    </row>
    <row r="96" spans="1:8" x14ac:dyDescent="0.35">
      <c r="A96" t="s">
        <v>683</v>
      </c>
      <c r="B96" t="s">
        <v>877</v>
      </c>
      <c r="D96">
        <v>2023</v>
      </c>
      <c r="E96" t="s">
        <v>1120</v>
      </c>
      <c r="F96" t="s">
        <v>1018</v>
      </c>
      <c r="G96">
        <v>95</v>
      </c>
      <c r="H96" t="str">
        <f>VLOOKUP(A96,'[1]All Publications'!$C$2:$I$439,7,FALSE)</f>
        <v>S2</v>
      </c>
    </row>
    <row r="97" spans="1:8" x14ac:dyDescent="0.35">
      <c r="A97" t="s">
        <v>684</v>
      </c>
      <c r="B97" t="s">
        <v>878</v>
      </c>
      <c r="D97">
        <v>2023</v>
      </c>
      <c r="E97" t="s">
        <v>1121</v>
      </c>
      <c r="F97" t="s">
        <v>1018</v>
      </c>
      <c r="G97">
        <v>96</v>
      </c>
      <c r="H97" t="str">
        <f>VLOOKUP(A97,'[1]All Publications'!$C$2:$I$439,7,FALSE)</f>
        <v>S1</v>
      </c>
    </row>
    <row r="98" spans="1:8" x14ac:dyDescent="0.35">
      <c r="A98" t="s">
        <v>685</v>
      </c>
      <c r="B98" t="s">
        <v>879</v>
      </c>
      <c r="D98">
        <v>2022</v>
      </c>
      <c r="E98" t="s">
        <v>1122</v>
      </c>
      <c r="F98" t="s">
        <v>1018</v>
      </c>
      <c r="G98">
        <v>97</v>
      </c>
      <c r="H98" t="str">
        <f>VLOOKUP(A98,'[1]All Publications'!$C$2:$I$439,7,FALSE)</f>
        <v>-</v>
      </c>
    </row>
    <row r="99" spans="1:8" x14ac:dyDescent="0.35">
      <c r="A99" t="s">
        <v>686</v>
      </c>
      <c r="B99" t="s">
        <v>880</v>
      </c>
      <c r="D99">
        <v>2025</v>
      </c>
      <c r="E99" t="s">
        <v>1123</v>
      </c>
      <c r="F99" t="s">
        <v>1021</v>
      </c>
      <c r="G99">
        <v>98</v>
      </c>
      <c r="H99" t="str">
        <f>VLOOKUP(A99,'[1]All Publications'!$C$2:$I$439,7,FALSE)</f>
        <v>-</v>
      </c>
    </row>
    <row r="100" spans="1:8" x14ac:dyDescent="0.35">
      <c r="A100" t="s">
        <v>494</v>
      </c>
      <c r="B100" t="s">
        <v>881</v>
      </c>
      <c r="D100">
        <v>2025</v>
      </c>
      <c r="E100" t="s">
        <v>1124</v>
      </c>
      <c r="F100" t="s">
        <v>1018</v>
      </c>
      <c r="G100">
        <v>99</v>
      </c>
      <c r="H100" t="str">
        <f>VLOOKUP(A100,'[1]All Publications'!$C$2:$I$439,7,FALSE)</f>
        <v>-</v>
      </c>
    </row>
    <row r="101" spans="1:8" x14ac:dyDescent="0.35">
      <c r="A101" t="s">
        <v>687</v>
      </c>
      <c r="B101" t="s">
        <v>882</v>
      </c>
      <c r="D101">
        <v>2025</v>
      </c>
      <c r="E101" t="s">
        <v>1125</v>
      </c>
      <c r="F101" t="s">
        <v>1019</v>
      </c>
      <c r="G101">
        <v>100</v>
      </c>
      <c r="H101" t="str">
        <f>VLOOKUP(A101,'[1]All Publications'!$C$2:$I$439,7,FALSE)</f>
        <v>-</v>
      </c>
    </row>
    <row r="102" spans="1:8" x14ac:dyDescent="0.35">
      <c r="A102" t="s">
        <v>688</v>
      </c>
      <c r="B102" t="s">
        <v>883</v>
      </c>
      <c r="D102">
        <v>2024</v>
      </c>
      <c r="E102" t="s">
        <v>1126</v>
      </c>
      <c r="F102" t="s">
        <v>1018</v>
      </c>
      <c r="G102">
        <v>101</v>
      </c>
      <c r="H102" t="str">
        <f>VLOOKUP(A102,'[1]All Publications'!$C$2:$I$439,7,FALSE)</f>
        <v>S1</v>
      </c>
    </row>
    <row r="103" spans="1:8" x14ac:dyDescent="0.35">
      <c r="A103" t="s">
        <v>689</v>
      </c>
      <c r="B103" t="s">
        <v>884</v>
      </c>
      <c r="D103">
        <v>2024</v>
      </c>
      <c r="E103" t="s">
        <v>1127</v>
      </c>
      <c r="F103" t="s">
        <v>1021</v>
      </c>
      <c r="G103">
        <v>102</v>
      </c>
      <c r="H103" t="str">
        <f>VLOOKUP(A103,'[1]All Publications'!$C$2:$I$439,7,FALSE)</f>
        <v>-</v>
      </c>
    </row>
    <row r="104" spans="1:8" x14ac:dyDescent="0.35">
      <c r="A104" t="s">
        <v>690</v>
      </c>
      <c r="B104" t="s">
        <v>885</v>
      </c>
      <c r="D104">
        <v>2023</v>
      </c>
      <c r="E104" t="s">
        <v>1128</v>
      </c>
      <c r="F104" t="s">
        <v>1018</v>
      </c>
      <c r="G104">
        <v>103</v>
      </c>
      <c r="H104" t="str">
        <f>VLOOKUP(A104,'[1]All Publications'!$C$2:$I$439,7,FALSE)</f>
        <v>S3</v>
      </c>
    </row>
    <row r="105" spans="1:8" x14ac:dyDescent="0.35">
      <c r="A105" t="s">
        <v>691</v>
      </c>
      <c r="B105" t="s">
        <v>886</v>
      </c>
      <c r="D105">
        <v>2022</v>
      </c>
      <c r="E105" t="s">
        <v>1129</v>
      </c>
      <c r="F105" t="s">
        <v>1023</v>
      </c>
      <c r="G105">
        <v>104</v>
      </c>
      <c r="H105" t="str">
        <f>VLOOKUP(A105,'[1]All Publications'!$C$2:$I$439,7,FALSE)</f>
        <v>-</v>
      </c>
    </row>
    <row r="106" spans="1:8" x14ac:dyDescent="0.35">
      <c r="A106" t="s">
        <v>692</v>
      </c>
      <c r="B106" t="s">
        <v>887</v>
      </c>
      <c r="D106">
        <v>2022</v>
      </c>
      <c r="E106" t="s">
        <v>1130</v>
      </c>
      <c r="F106" t="s">
        <v>1018</v>
      </c>
      <c r="G106">
        <v>105</v>
      </c>
      <c r="H106" t="str">
        <f>VLOOKUP(A106,'[1]All Publications'!$C$2:$I$439,7,FALSE)</f>
        <v>-</v>
      </c>
    </row>
    <row r="107" spans="1:8" x14ac:dyDescent="0.35">
      <c r="A107" t="s">
        <v>693</v>
      </c>
      <c r="B107" t="s">
        <v>887</v>
      </c>
      <c r="D107">
        <v>2022</v>
      </c>
      <c r="E107" t="s">
        <v>1131</v>
      </c>
      <c r="F107" t="s">
        <v>1018</v>
      </c>
      <c r="G107">
        <v>106</v>
      </c>
      <c r="H107" t="str">
        <f>VLOOKUP(A107,'[1]All Publications'!$C$2:$I$439,7,FALSE)</f>
        <v>-</v>
      </c>
    </row>
    <row r="108" spans="1:8" x14ac:dyDescent="0.35">
      <c r="A108" t="s">
        <v>694</v>
      </c>
      <c r="B108" t="s">
        <v>888</v>
      </c>
      <c r="D108">
        <v>2021</v>
      </c>
      <c r="E108" t="s">
        <v>1132</v>
      </c>
      <c r="F108" t="s">
        <v>1019</v>
      </c>
      <c r="G108">
        <v>107</v>
      </c>
      <c r="H108" t="str">
        <f>VLOOKUP(A108,'[1]All Publications'!$C$2:$I$439,7,FALSE)</f>
        <v>-</v>
      </c>
    </row>
    <row r="109" spans="1:8" x14ac:dyDescent="0.35">
      <c r="A109" t="s">
        <v>695</v>
      </c>
      <c r="B109" t="s">
        <v>889</v>
      </c>
      <c r="D109">
        <v>2025</v>
      </c>
      <c r="E109" t="s">
        <v>1133</v>
      </c>
      <c r="F109" t="s">
        <v>1020</v>
      </c>
      <c r="G109">
        <v>108</v>
      </c>
      <c r="H109" t="str">
        <f>VLOOKUP(A109,'[1]All Publications'!$C$2:$I$439,7,FALSE)</f>
        <v>S3-S5</v>
      </c>
    </row>
    <row r="110" spans="1:8" x14ac:dyDescent="0.35">
      <c r="A110" t="s">
        <v>696</v>
      </c>
      <c r="B110" t="s">
        <v>890</v>
      </c>
      <c r="D110">
        <v>2025</v>
      </c>
      <c r="E110" t="s">
        <v>1134</v>
      </c>
      <c r="F110" t="s">
        <v>1018</v>
      </c>
      <c r="G110">
        <v>109</v>
      </c>
      <c r="H110" t="str">
        <f>VLOOKUP(A110,'[1]All Publications'!$C$2:$I$439,7,FALSE)</f>
        <v>S2</v>
      </c>
    </row>
    <row r="111" spans="1:8" x14ac:dyDescent="0.35">
      <c r="A111" t="s">
        <v>697</v>
      </c>
      <c r="B111" t="s">
        <v>891</v>
      </c>
      <c r="D111">
        <v>2025</v>
      </c>
      <c r="E111" t="s">
        <v>1135</v>
      </c>
      <c r="F111" t="s">
        <v>1018</v>
      </c>
      <c r="G111">
        <v>110</v>
      </c>
      <c r="H111" t="str">
        <f>VLOOKUP(A111,'[1]All Publications'!$C$2:$I$439,7,FALSE)</f>
        <v>-</v>
      </c>
    </row>
    <row r="112" spans="1:8" x14ac:dyDescent="0.35">
      <c r="A112" t="s">
        <v>698</v>
      </c>
      <c r="B112" t="s">
        <v>892</v>
      </c>
      <c r="D112">
        <v>2025</v>
      </c>
      <c r="E112" t="s">
        <v>1136</v>
      </c>
      <c r="F112" t="s">
        <v>1023</v>
      </c>
      <c r="G112">
        <v>111</v>
      </c>
      <c r="H112" t="str">
        <f>VLOOKUP(A112,'[1]All Publications'!$C$2:$I$439,7,FALSE)</f>
        <v>-</v>
      </c>
    </row>
    <row r="113" spans="1:8" x14ac:dyDescent="0.35">
      <c r="A113" t="s">
        <v>699</v>
      </c>
      <c r="B113" t="s">
        <v>893</v>
      </c>
      <c r="D113">
        <v>2024</v>
      </c>
      <c r="E113" t="s">
        <v>1137</v>
      </c>
      <c r="F113" t="s">
        <v>1023</v>
      </c>
      <c r="G113">
        <v>112</v>
      </c>
      <c r="H113" t="str">
        <f>VLOOKUP(A113,'[1]All Publications'!$C$2:$I$439,7,FALSE)</f>
        <v>-</v>
      </c>
    </row>
    <row r="114" spans="1:8" x14ac:dyDescent="0.35">
      <c r="A114" t="s">
        <v>700</v>
      </c>
      <c r="B114" t="s">
        <v>894</v>
      </c>
      <c r="D114">
        <v>2024</v>
      </c>
      <c r="E114" t="s">
        <v>1138</v>
      </c>
      <c r="F114" t="s">
        <v>1018</v>
      </c>
      <c r="G114">
        <v>113</v>
      </c>
      <c r="H114" t="str">
        <f>VLOOKUP(A114,'[1]All Publications'!$C$2:$I$439,7,FALSE)</f>
        <v>-</v>
      </c>
    </row>
    <row r="115" spans="1:8" x14ac:dyDescent="0.35">
      <c r="A115" t="s">
        <v>439</v>
      </c>
      <c r="B115" t="s">
        <v>891</v>
      </c>
      <c r="D115">
        <v>2023</v>
      </c>
      <c r="E115" t="s">
        <v>1139</v>
      </c>
      <c r="F115" t="s">
        <v>1023</v>
      </c>
      <c r="G115">
        <v>114</v>
      </c>
      <c r="H115" t="str">
        <f>VLOOKUP(A115,'[1]All Publications'!$C$2:$I$439,7,FALSE)</f>
        <v>S3-S5</v>
      </c>
    </row>
    <row r="116" spans="1:8" x14ac:dyDescent="0.35">
      <c r="A116" t="s">
        <v>503</v>
      </c>
      <c r="B116" t="s">
        <v>895</v>
      </c>
      <c r="D116">
        <v>2023</v>
      </c>
      <c r="E116" t="s">
        <v>1140</v>
      </c>
      <c r="F116" t="s">
        <v>1021</v>
      </c>
      <c r="G116">
        <v>115</v>
      </c>
      <c r="H116" t="str">
        <f>VLOOKUP(A116,'[1]All Publications'!$C$2:$I$439,7,FALSE)</f>
        <v>-</v>
      </c>
    </row>
    <row r="117" spans="1:8" x14ac:dyDescent="0.35">
      <c r="A117" t="s">
        <v>701</v>
      </c>
      <c r="B117" t="s">
        <v>896</v>
      </c>
      <c r="D117">
        <v>2022</v>
      </c>
      <c r="E117" t="s">
        <v>1141</v>
      </c>
      <c r="F117" t="s">
        <v>1023</v>
      </c>
      <c r="G117">
        <v>116</v>
      </c>
      <c r="H117" t="str">
        <f>VLOOKUP(A117,'[1]All Publications'!$C$2:$I$439,7,FALSE)</f>
        <v>-</v>
      </c>
    </row>
    <row r="118" spans="1:8" x14ac:dyDescent="0.35">
      <c r="A118" t="s">
        <v>702</v>
      </c>
      <c r="B118" t="s">
        <v>862</v>
      </c>
      <c r="D118">
        <v>2022</v>
      </c>
      <c r="E118" t="s">
        <v>1142</v>
      </c>
      <c r="F118" t="s">
        <v>1018</v>
      </c>
      <c r="G118">
        <v>117</v>
      </c>
      <c r="H118" t="str">
        <f>VLOOKUP(A118,'[1]All Publications'!$C$2:$I$439,7,FALSE)</f>
        <v>-</v>
      </c>
    </row>
    <row r="119" spans="1:8" x14ac:dyDescent="0.35">
      <c r="A119" t="s">
        <v>703</v>
      </c>
      <c r="B119" t="s">
        <v>897</v>
      </c>
      <c r="D119">
        <v>2022</v>
      </c>
      <c r="E119" t="s">
        <v>1143</v>
      </c>
      <c r="F119" t="s">
        <v>1018</v>
      </c>
      <c r="G119">
        <v>118</v>
      </c>
      <c r="H119" t="str">
        <f>VLOOKUP(A119,'[1]All Publications'!$C$2:$I$439,7,FALSE)</f>
        <v>-</v>
      </c>
    </row>
    <row r="120" spans="1:8" x14ac:dyDescent="0.35">
      <c r="A120" t="s">
        <v>704</v>
      </c>
      <c r="B120" t="s">
        <v>898</v>
      </c>
      <c r="D120">
        <v>2021</v>
      </c>
      <c r="E120" t="s">
        <v>1144</v>
      </c>
      <c r="F120" t="s">
        <v>1023</v>
      </c>
      <c r="G120">
        <v>119</v>
      </c>
      <c r="H120" t="str">
        <f>VLOOKUP(A120,'[1]All Publications'!$C$2:$I$439,7,FALSE)</f>
        <v>S3-S5</v>
      </c>
    </row>
    <row r="121" spans="1:8" x14ac:dyDescent="0.35">
      <c r="A121" t="s">
        <v>705</v>
      </c>
      <c r="B121" t="s">
        <v>899</v>
      </c>
      <c r="D121">
        <v>2021</v>
      </c>
      <c r="E121" t="s">
        <v>1145</v>
      </c>
      <c r="F121" t="s">
        <v>1018</v>
      </c>
      <c r="G121">
        <v>120</v>
      </c>
      <c r="H121" t="str">
        <f>VLOOKUP(A121,'[1]All Publications'!$C$2:$I$439,7,FALSE)</f>
        <v>-</v>
      </c>
    </row>
    <row r="122" spans="1:8" x14ac:dyDescent="0.35">
      <c r="A122" t="s">
        <v>706</v>
      </c>
      <c r="B122" t="s">
        <v>872</v>
      </c>
      <c r="D122">
        <v>2021</v>
      </c>
      <c r="E122" t="s">
        <v>1146</v>
      </c>
      <c r="F122" t="s">
        <v>1018</v>
      </c>
      <c r="G122">
        <v>121</v>
      </c>
      <c r="H122" t="str">
        <f>VLOOKUP(A122,'[1]All Publications'!$C$2:$I$439,7,FALSE)</f>
        <v>-</v>
      </c>
    </row>
    <row r="123" spans="1:8" x14ac:dyDescent="0.35">
      <c r="A123" t="s">
        <v>707</v>
      </c>
      <c r="B123" t="s">
        <v>900</v>
      </c>
      <c r="D123">
        <v>2023</v>
      </c>
      <c r="E123" t="s">
        <v>1147</v>
      </c>
      <c r="F123" t="s">
        <v>1020</v>
      </c>
      <c r="G123">
        <v>122</v>
      </c>
      <c r="H123" t="str">
        <f>VLOOKUP(A123,'[1]All Publications'!$C$2:$I$439,7,FALSE)</f>
        <v>S3-S5</v>
      </c>
    </row>
    <row r="124" spans="1:8" x14ac:dyDescent="0.35">
      <c r="A124" t="s">
        <v>708</v>
      </c>
      <c r="B124" t="s">
        <v>901</v>
      </c>
      <c r="D124">
        <v>2022</v>
      </c>
      <c r="E124" t="s">
        <v>1148</v>
      </c>
      <c r="F124" t="s">
        <v>1018</v>
      </c>
      <c r="G124">
        <v>123</v>
      </c>
      <c r="H124" t="str">
        <f>VLOOKUP(A124,'[1]All Publications'!$C$2:$I$439,7,FALSE)</f>
        <v>S2</v>
      </c>
    </row>
    <row r="125" spans="1:8" x14ac:dyDescent="0.35">
      <c r="A125" t="s">
        <v>709</v>
      </c>
      <c r="B125" t="s">
        <v>902</v>
      </c>
      <c r="D125">
        <v>2024</v>
      </c>
      <c r="E125" t="s">
        <v>1149</v>
      </c>
      <c r="F125" t="s">
        <v>1018</v>
      </c>
      <c r="G125">
        <v>124</v>
      </c>
      <c r="H125" t="str">
        <f>VLOOKUP(A125,'[1]All Publications'!$C$2:$I$439,7,FALSE)</f>
        <v>-</v>
      </c>
    </row>
    <row r="126" spans="1:8" x14ac:dyDescent="0.35">
      <c r="A126" t="s">
        <v>710</v>
      </c>
      <c r="B126" t="s">
        <v>903</v>
      </c>
      <c r="D126">
        <v>2024</v>
      </c>
      <c r="E126" t="s">
        <v>1150</v>
      </c>
      <c r="F126" t="s">
        <v>1020</v>
      </c>
      <c r="G126">
        <v>125</v>
      </c>
      <c r="H126" t="str">
        <f>VLOOKUP(A126,'[1]All Publications'!$C$2:$I$439,7,FALSE)</f>
        <v>S3-S5</v>
      </c>
    </row>
    <row r="127" spans="1:8" x14ac:dyDescent="0.35">
      <c r="A127" t="s">
        <v>711</v>
      </c>
      <c r="B127" t="s">
        <v>904</v>
      </c>
      <c r="D127">
        <v>2023</v>
      </c>
      <c r="E127" t="s">
        <v>1151</v>
      </c>
      <c r="F127" t="s">
        <v>1020</v>
      </c>
      <c r="G127">
        <v>126</v>
      </c>
      <c r="H127" t="str">
        <f>VLOOKUP(A127,'[1]All Publications'!$C$2:$I$439,7,FALSE)</f>
        <v>S3-S5</v>
      </c>
    </row>
    <row r="128" spans="1:8" x14ac:dyDescent="0.35">
      <c r="A128" t="s">
        <v>712</v>
      </c>
      <c r="B128" t="s">
        <v>905</v>
      </c>
      <c r="D128">
        <v>2022</v>
      </c>
      <c r="E128" t="s">
        <v>1152</v>
      </c>
      <c r="F128" t="s">
        <v>1023</v>
      </c>
      <c r="G128">
        <v>127</v>
      </c>
      <c r="H128" t="str">
        <f>VLOOKUP(A128,'[1]All Publications'!$C$2:$I$439,7,FALSE)</f>
        <v>-</v>
      </c>
    </row>
    <row r="129" spans="1:8" x14ac:dyDescent="0.35">
      <c r="A129" t="s">
        <v>713</v>
      </c>
      <c r="B129" t="s">
        <v>906</v>
      </c>
      <c r="D129">
        <v>2020</v>
      </c>
      <c r="E129" t="s">
        <v>1153</v>
      </c>
      <c r="F129" t="s">
        <v>1021</v>
      </c>
      <c r="G129">
        <v>128</v>
      </c>
      <c r="H129" t="str">
        <f>VLOOKUP(A129,'[1]All Publications'!$C$2:$I$439,7,FALSE)</f>
        <v>-</v>
      </c>
    </row>
    <row r="130" spans="1:8" x14ac:dyDescent="0.35">
      <c r="A130" t="s">
        <v>714</v>
      </c>
      <c r="B130" t="s">
        <v>907</v>
      </c>
      <c r="D130">
        <v>2024</v>
      </c>
      <c r="E130" t="s">
        <v>1154</v>
      </c>
      <c r="F130" t="s">
        <v>1018</v>
      </c>
      <c r="G130">
        <v>129</v>
      </c>
      <c r="H130" t="str">
        <f>VLOOKUP(A130,'[1]All Publications'!$C$2:$I$439,7,FALSE)</f>
        <v>-</v>
      </c>
    </row>
    <row r="131" spans="1:8" x14ac:dyDescent="0.35">
      <c r="A131" t="s">
        <v>715</v>
      </c>
      <c r="B131" t="s">
        <v>908</v>
      </c>
      <c r="D131">
        <v>2023</v>
      </c>
      <c r="E131" t="s">
        <v>1155</v>
      </c>
      <c r="F131" t="s">
        <v>1023</v>
      </c>
      <c r="G131">
        <v>130</v>
      </c>
      <c r="H131" t="str">
        <f>VLOOKUP(A131,'[1]All Publications'!$C$2:$I$439,7,FALSE)</f>
        <v>-</v>
      </c>
    </row>
    <row r="132" spans="1:8" x14ac:dyDescent="0.35">
      <c r="A132" t="s">
        <v>716</v>
      </c>
      <c r="B132" t="s">
        <v>909</v>
      </c>
      <c r="D132">
        <v>2026</v>
      </c>
      <c r="E132" t="s">
        <v>1156</v>
      </c>
      <c r="F132" t="s">
        <v>1024</v>
      </c>
      <c r="G132">
        <v>131</v>
      </c>
      <c r="H132" t="str">
        <f>VLOOKUP(A132,'[1]All Publications'!$C$2:$I$439,7,FALSE)</f>
        <v>-</v>
      </c>
    </row>
    <row r="133" spans="1:8" x14ac:dyDescent="0.35">
      <c r="A133" t="s">
        <v>717</v>
      </c>
      <c r="B133" t="s">
        <v>910</v>
      </c>
      <c r="D133">
        <v>2025</v>
      </c>
      <c r="E133" t="s">
        <v>1157</v>
      </c>
      <c r="F133" t="s">
        <v>1018</v>
      </c>
      <c r="G133">
        <v>132</v>
      </c>
      <c r="H133" t="str">
        <f>VLOOKUP(A133,'[1]All Publications'!$C$2:$I$439,7,FALSE)</f>
        <v>S4</v>
      </c>
    </row>
    <row r="134" spans="1:8" x14ac:dyDescent="0.35">
      <c r="A134" t="s">
        <v>635</v>
      </c>
      <c r="B134" t="s">
        <v>839</v>
      </c>
      <c r="D134">
        <v>2025</v>
      </c>
      <c r="E134" t="s">
        <v>1158</v>
      </c>
      <c r="F134" t="s">
        <v>1018</v>
      </c>
      <c r="G134">
        <v>133</v>
      </c>
      <c r="H134" t="str">
        <f>VLOOKUP(A134,'[1]All Publications'!$C$2:$I$439,7,FALSE)</f>
        <v>S4</v>
      </c>
    </row>
    <row r="135" spans="1:8" x14ac:dyDescent="0.35">
      <c r="A135" t="s">
        <v>718</v>
      </c>
      <c r="B135" t="s">
        <v>911</v>
      </c>
      <c r="D135">
        <v>2025</v>
      </c>
      <c r="E135" t="s">
        <v>1159</v>
      </c>
      <c r="F135" t="s">
        <v>1020</v>
      </c>
      <c r="G135">
        <v>134</v>
      </c>
      <c r="H135" t="str">
        <f>VLOOKUP(A135,'[1]All Publications'!$C$2:$I$439,7,FALSE)</f>
        <v>S3-S5</v>
      </c>
    </row>
    <row r="136" spans="1:8" x14ac:dyDescent="0.35">
      <c r="A136" t="s">
        <v>719</v>
      </c>
      <c r="B136" t="s">
        <v>912</v>
      </c>
      <c r="D136">
        <v>2025</v>
      </c>
      <c r="E136" t="s">
        <v>1160</v>
      </c>
      <c r="F136" t="s">
        <v>1023</v>
      </c>
      <c r="G136">
        <v>135</v>
      </c>
      <c r="H136" t="str">
        <f>VLOOKUP(A136,'[1]All Publications'!$C$2:$I$439,7,FALSE)</f>
        <v>-</v>
      </c>
    </row>
    <row r="137" spans="1:8" x14ac:dyDescent="0.35">
      <c r="A137" t="s">
        <v>720</v>
      </c>
      <c r="B137" t="s">
        <v>913</v>
      </c>
      <c r="D137">
        <v>2025</v>
      </c>
      <c r="E137" t="s">
        <v>1161</v>
      </c>
      <c r="F137" t="s">
        <v>1023</v>
      </c>
      <c r="G137">
        <v>136</v>
      </c>
      <c r="H137" t="str">
        <f>VLOOKUP(A137,'[1]All Publications'!$C$2:$I$439,7,FALSE)</f>
        <v>-</v>
      </c>
    </row>
    <row r="138" spans="1:8" x14ac:dyDescent="0.35">
      <c r="A138" t="s">
        <v>721</v>
      </c>
      <c r="B138" t="s">
        <v>914</v>
      </c>
      <c r="D138">
        <v>2025</v>
      </c>
      <c r="E138" t="s">
        <v>1162</v>
      </c>
      <c r="F138" t="s">
        <v>1023</v>
      </c>
      <c r="G138">
        <v>137</v>
      </c>
      <c r="H138" t="str">
        <f>VLOOKUP(A138,'[1]All Publications'!$C$2:$I$439,7,FALSE)</f>
        <v>-</v>
      </c>
    </row>
    <row r="139" spans="1:8" x14ac:dyDescent="0.35">
      <c r="A139" t="s">
        <v>722</v>
      </c>
      <c r="B139" t="s">
        <v>915</v>
      </c>
      <c r="D139">
        <v>2025</v>
      </c>
      <c r="E139" t="s">
        <v>1163</v>
      </c>
      <c r="F139" t="s">
        <v>1023</v>
      </c>
      <c r="G139">
        <v>138</v>
      </c>
      <c r="H139" t="str">
        <f>VLOOKUP(A139,'[1]All Publications'!$C$2:$I$439,7,FALSE)</f>
        <v>-</v>
      </c>
    </row>
    <row r="140" spans="1:8" x14ac:dyDescent="0.35">
      <c r="A140" t="s">
        <v>264</v>
      </c>
      <c r="B140" t="s">
        <v>916</v>
      </c>
      <c r="D140">
        <v>2024</v>
      </c>
      <c r="E140" t="s">
        <v>1164</v>
      </c>
      <c r="F140" t="s">
        <v>1018</v>
      </c>
      <c r="G140">
        <v>139</v>
      </c>
      <c r="H140" t="str">
        <f>VLOOKUP(A140,'[1]All Publications'!$C$2:$I$439,7,FALSE)</f>
        <v>-</v>
      </c>
    </row>
    <row r="141" spans="1:8" x14ac:dyDescent="0.35">
      <c r="A141" t="s">
        <v>646</v>
      </c>
      <c r="B141" t="s">
        <v>848</v>
      </c>
      <c r="D141">
        <v>2024</v>
      </c>
      <c r="E141" t="s">
        <v>1165</v>
      </c>
      <c r="F141" t="s">
        <v>1018</v>
      </c>
      <c r="G141">
        <v>140</v>
      </c>
      <c r="H141" t="str">
        <f>VLOOKUP(A141,'[1]All Publications'!$C$2:$I$439,7,FALSE)</f>
        <v>S4</v>
      </c>
    </row>
    <row r="142" spans="1:8" x14ac:dyDescent="0.35">
      <c r="A142" t="s">
        <v>723</v>
      </c>
      <c r="B142" t="s">
        <v>917</v>
      </c>
      <c r="D142">
        <v>2024</v>
      </c>
      <c r="E142" t="s">
        <v>1166</v>
      </c>
      <c r="F142" t="s">
        <v>1023</v>
      </c>
      <c r="G142">
        <v>141</v>
      </c>
      <c r="H142" t="str">
        <f>VLOOKUP(A142,'[1]All Publications'!$C$2:$I$439,7,FALSE)</f>
        <v>-</v>
      </c>
    </row>
    <row r="143" spans="1:8" x14ac:dyDescent="0.35">
      <c r="A143" t="s">
        <v>724</v>
      </c>
      <c r="B143" t="s">
        <v>918</v>
      </c>
      <c r="D143">
        <v>2023</v>
      </c>
      <c r="E143" t="s">
        <v>1167</v>
      </c>
      <c r="F143" t="s">
        <v>1022</v>
      </c>
      <c r="G143">
        <v>142</v>
      </c>
      <c r="H143" t="str">
        <f>VLOOKUP(A143,'[1]All Publications'!$C$2:$I$439,7,FALSE)</f>
        <v>-</v>
      </c>
    </row>
    <row r="144" spans="1:8" x14ac:dyDescent="0.35">
      <c r="A144" t="s">
        <v>725</v>
      </c>
      <c r="B144" t="s">
        <v>918</v>
      </c>
      <c r="D144">
        <v>2023</v>
      </c>
      <c r="E144" t="s">
        <v>1168</v>
      </c>
      <c r="F144" t="s">
        <v>1018</v>
      </c>
      <c r="G144">
        <v>143</v>
      </c>
      <c r="H144" t="str">
        <f>VLOOKUP(A144,'[1]All Publications'!$C$2:$I$439,7,FALSE)</f>
        <v>-</v>
      </c>
    </row>
    <row r="145" spans="1:8" x14ac:dyDescent="0.35">
      <c r="A145" t="s">
        <v>726</v>
      </c>
      <c r="B145" t="s">
        <v>919</v>
      </c>
      <c r="D145">
        <v>2023</v>
      </c>
      <c r="E145" t="s">
        <v>1169</v>
      </c>
      <c r="F145" t="s">
        <v>1018</v>
      </c>
      <c r="G145">
        <v>144</v>
      </c>
      <c r="H145" t="str">
        <f>VLOOKUP(A145,'[1]All Publications'!$C$2:$I$439,7,FALSE)</f>
        <v>-</v>
      </c>
    </row>
    <row r="146" spans="1:8" x14ac:dyDescent="0.35">
      <c r="A146" t="s">
        <v>727</v>
      </c>
      <c r="B146" t="s">
        <v>918</v>
      </c>
      <c r="D146">
        <v>2023</v>
      </c>
      <c r="E146" t="s">
        <v>1170</v>
      </c>
      <c r="F146" t="s">
        <v>1018</v>
      </c>
      <c r="G146">
        <v>145</v>
      </c>
      <c r="H146" t="str">
        <f>VLOOKUP(A146,'[1]All Publications'!$C$2:$I$439,7,FALSE)</f>
        <v>-</v>
      </c>
    </row>
    <row r="147" spans="1:8" x14ac:dyDescent="0.35">
      <c r="A147" t="s">
        <v>728</v>
      </c>
      <c r="B147" t="s">
        <v>920</v>
      </c>
      <c r="D147">
        <v>2023</v>
      </c>
      <c r="E147" t="s">
        <v>1171</v>
      </c>
      <c r="F147" t="s">
        <v>1023</v>
      </c>
      <c r="G147">
        <v>146</v>
      </c>
      <c r="H147" t="str">
        <f>VLOOKUP(A147,'[1]All Publications'!$C$2:$I$439,7,FALSE)</f>
        <v>-</v>
      </c>
    </row>
    <row r="148" spans="1:8" x14ac:dyDescent="0.35">
      <c r="A148" t="s">
        <v>664</v>
      </c>
      <c r="B148" t="s">
        <v>848</v>
      </c>
      <c r="D148">
        <v>2022</v>
      </c>
      <c r="E148" t="s">
        <v>1172</v>
      </c>
      <c r="F148" t="s">
        <v>1018</v>
      </c>
      <c r="G148">
        <v>147</v>
      </c>
      <c r="H148" t="str">
        <f>VLOOKUP(A148,'[1]All Publications'!$C$2:$I$439,7,FALSE)</f>
        <v>S4</v>
      </c>
    </row>
    <row r="149" spans="1:8" x14ac:dyDescent="0.35">
      <c r="A149" t="s">
        <v>665</v>
      </c>
      <c r="B149" t="s">
        <v>848</v>
      </c>
      <c r="D149">
        <v>2022</v>
      </c>
      <c r="E149" t="s">
        <v>1173</v>
      </c>
      <c r="F149" t="s">
        <v>1018</v>
      </c>
      <c r="G149">
        <v>148</v>
      </c>
      <c r="H149" t="str">
        <f>VLOOKUP(A149,'[1]All Publications'!$C$2:$I$439,7,FALSE)</f>
        <v>S4</v>
      </c>
    </row>
    <row r="150" spans="1:8" x14ac:dyDescent="0.35">
      <c r="A150" t="s">
        <v>729</v>
      </c>
      <c r="B150" t="s">
        <v>921</v>
      </c>
      <c r="D150">
        <v>2022</v>
      </c>
      <c r="E150" t="s">
        <v>1174</v>
      </c>
      <c r="F150" t="s">
        <v>1023</v>
      </c>
      <c r="G150">
        <v>149</v>
      </c>
      <c r="H150" t="str">
        <f>VLOOKUP(A150,'[1]All Publications'!$C$2:$I$439,7,FALSE)</f>
        <v>-</v>
      </c>
    </row>
    <row r="151" spans="1:8" x14ac:dyDescent="0.35">
      <c r="A151" t="s">
        <v>730</v>
      </c>
      <c r="B151" t="s">
        <v>922</v>
      </c>
      <c r="D151">
        <v>2020</v>
      </c>
      <c r="E151" t="s">
        <v>1175</v>
      </c>
      <c r="F151" t="s">
        <v>1018</v>
      </c>
      <c r="G151">
        <v>150</v>
      </c>
      <c r="H151" t="str">
        <f>VLOOKUP(A151,'[1]All Publications'!$C$2:$I$439,7,FALSE)</f>
        <v>S3</v>
      </c>
    </row>
    <row r="152" spans="1:8" x14ac:dyDescent="0.35">
      <c r="A152" t="s">
        <v>608</v>
      </c>
      <c r="B152" t="s">
        <v>824</v>
      </c>
      <c r="D152">
        <v>2023</v>
      </c>
      <c r="E152" t="s">
        <v>1176</v>
      </c>
      <c r="F152" t="s">
        <v>1021</v>
      </c>
      <c r="G152">
        <v>151</v>
      </c>
      <c r="H152" t="str">
        <f>VLOOKUP(A152,'[1]All Publications'!$C$2:$I$439,7,FALSE)</f>
        <v>-</v>
      </c>
    </row>
    <row r="153" spans="1:8" x14ac:dyDescent="0.35">
      <c r="A153" t="s">
        <v>707</v>
      </c>
      <c r="B153" t="s">
        <v>900</v>
      </c>
      <c r="D153">
        <v>2023</v>
      </c>
      <c r="E153" t="s">
        <v>1177</v>
      </c>
      <c r="F153" t="s">
        <v>1020</v>
      </c>
      <c r="G153">
        <v>152</v>
      </c>
      <c r="H153" t="str">
        <f>VLOOKUP(A153,'[1]All Publications'!$C$2:$I$439,7,FALSE)</f>
        <v>S3-S5</v>
      </c>
    </row>
    <row r="154" spans="1:8" x14ac:dyDescent="0.35">
      <c r="A154" t="s">
        <v>708</v>
      </c>
      <c r="B154" t="s">
        <v>901</v>
      </c>
      <c r="D154">
        <v>2022</v>
      </c>
      <c r="E154" t="s">
        <v>1178</v>
      </c>
      <c r="F154" t="s">
        <v>1018</v>
      </c>
      <c r="G154">
        <v>153</v>
      </c>
      <c r="H154" t="str">
        <f>VLOOKUP(A154,'[1]All Publications'!$C$2:$I$439,7,FALSE)</f>
        <v>S2</v>
      </c>
    </row>
    <row r="155" spans="1:8" x14ac:dyDescent="0.35">
      <c r="A155" t="s">
        <v>731</v>
      </c>
      <c r="B155" t="s">
        <v>923</v>
      </c>
      <c r="D155">
        <v>2024</v>
      </c>
      <c r="E155" t="s">
        <v>1179</v>
      </c>
      <c r="F155" t="s">
        <v>1023</v>
      </c>
      <c r="G155">
        <v>154</v>
      </c>
      <c r="H155" t="str">
        <f>VLOOKUP(A155,'[1]All Publications'!$C$2:$I$439,7,FALSE)</f>
        <v>-</v>
      </c>
    </row>
    <row r="156" spans="1:8" x14ac:dyDescent="0.35">
      <c r="A156" t="s">
        <v>710</v>
      </c>
      <c r="B156" t="s">
        <v>903</v>
      </c>
      <c r="D156">
        <v>2024</v>
      </c>
      <c r="E156" t="s">
        <v>1180</v>
      </c>
      <c r="F156" t="s">
        <v>1020</v>
      </c>
      <c r="G156">
        <v>155</v>
      </c>
      <c r="H156" t="str">
        <f>VLOOKUP(A156,'[1]All Publications'!$C$2:$I$439,7,FALSE)</f>
        <v>S3-S5</v>
      </c>
    </row>
    <row r="157" spans="1:8" x14ac:dyDescent="0.35">
      <c r="A157" t="s">
        <v>732</v>
      </c>
      <c r="B157" t="s">
        <v>924</v>
      </c>
      <c r="D157">
        <v>2023</v>
      </c>
      <c r="E157" t="s">
        <v>1181</v>
      </c>
      <c r="F157" t="s">
        <v>1021</v>
      </c>
      <c r="G157">
        <v>156</v>
      </c>
      <c r="H157" t="str">
        <f>VLOOKUP(A157,'[1]All Publications'!$C$2:$I$439,7,FALSE)</f>
        <v>-</v>
      </c>
    </row>
    <row r="158" spans="1:8" x14ac:dyDescent="0.35">
      <c r="A158" t="s">
        <v>733</v>
      </c>
      <c r="B158" t="s">
        <v>925</v>
      </c>
      <c r="D158">
        <v>2021</v>
      </c>
      <c r="E158" t="s">
        <v>1182</v>
      </c>
      <c r="F158" t="s">
        <v>1023</v>
      </c>
      <c r="G158">
        <v>157</v>
      </c>
      <c r="H158" t="str">
        <f>VLOOKUP(A158,'[1]All Publications'!$C$2:$I$439,7,FALSE)</f>
        <v>-</v>
      </c>
    </row>
    <row r="159" spans="1:8" x14ac:dyDescent="0.35">
      <c r="A159" t="s">
        <v>734</v>
      </c>
      <c r="B159" t="s">
        <v>926</v>
      </c>
      <c r="D159">
        <v>2021</v>
      </c>
      <c r="E159" t="s">
        <v>1183</v>
      </c>
      <c r="F159" t="s">
        <v>1023</v>
      </c>
      <c r="G159">
        <v>158</v>
      </c>
      <c r="H159" t="str">
        <f>VLOOKUP(A159,'[1]All Publications'!$C$2:$I$439,7,FALSE)</f>
        <v>-</v>
      </c>
    </row>
    <row r="160" spans="1:8" x14ac:dyDescent="0.35">
      <c r="A160" t="s">
        <v>486</v>
      </c>
      <c r="B160" t="s">
        <v>927</v>
      </c>
      <c r="D160">
        <v>2020</v>
      </c>
      <c r="E160" t="s">
        <v>1184</v>
      </c>
      <c r="F160" t="s">
        <v>1018</v>
      </c>
      <c r="G160">
        <v>159</v>
      </c>
      <c r="H160" t="str">
        <f>VLOOKUP(A160,'[1]All Publications'!$C$2:$I$439,7,FALSE)</f>
        <v>S2</v>
      </c>
    </row>
    <row r="161" spans="1:8" x14ac:dyDescent="0.35">
      <c r="A161" t="s">
        <v>735</v>
      </c>
      <c r="B161" t="s">
        <v>928</v>
      </c>
      <c r="D161">
        <v>2020</v>
      </c>
      <c r="E161" t="s">
        <v>1185</v>
      </c>
      <c r="F161" t="s">
        <v>1023</v>
      </c>
      <c r="G161">
        <v>160</v>
      </c>
      <c r="H161" t="str">
        <f>VLOOKUP(A161,'[1]All Publications'!$C$2:$I$439,7,FALSE)</f>
        <v>-</v>
      </c>
    </row>
    <row r="162" spans="1:8" x14ac:dyDescent="0.35">
      <c r="A162" t="s">
        <v>714</v>
      </c>
      <c r="B162" t="s">
        <v>907</v>
      </c>
      <c r="D162">
        <v>2024</v>
      </c>
      <c r="E162" t="s">
        <v>1186</v>
      </c>
      <c r="F162" t="s">
        <v>1018</v>
      </c>
      <c r="G162">
        <v>161</v>
      </c>
      <c r="H162" t="str">
        <f>VLOOKUP(A162,'[1]All Publications'!$C$2:$I$439,7,FALSE)</f>
        <v>-</v>
      </c>
    </row>
    <row r="163" spans="1:8" x14ac:dyDescent="0.35">
      <c r="A163" t="s">
        <v>481</v>
      </c>
      <c r="B163" t="s">
        <v>929</v>
      </c>
      <c r="D163">
        <v>2024</v>
      </c>
      <c r="E163" t="s">
        <v>1187</v>
      </c>
      <c r="F163" t="s">
        <v>1021</v>
      </c>
      <c r="G163">
        <v>162</v>
      </c>
      <c r="H163" t="str">
        <f>VLOOKUP(A163,'[1]All Publications'!$C$2:$I$439,7,FALSE)</f>
        <v>-</v>
      </c>
    </row>
    <row r="164" spans="1:8" x14ac:dyDescent="0.35">
      <c r="A164" t="s">
        <v>736</v>
      </c>
      <c r="B164" t="s">
        <v>930</v>
      </c>
      <c r="D164">
        <v>2020</v>
      </c>
      <c r="E164" t="s">
        <v>1188</v>
      </c>
      <c r="F164" t="s">
        <v>1023</v>
      </c>
      <c r="G164">
        <v>163</v>
      </c>
      <c r="H164" t="str">
        <f>VLOOKUP(A164,'[1]All Publications'!$C$2:$I$439,7,FALSE)</f>
        <v>-</v>
      </c>
    </row>
    <row r="165" spans="1:8" x14ac:dyDescent="0.35">
      <c r="A165" t="s">
        <v>737</v>
      </c>
      <c r="B165" t="s">
        <v>931</v>
      </c>
      <c r="D165">
        <v>2026</v>
      </c>
      <c r="E165" t="s">
        <v>1189</v>
      </c>
      <c r="F165" t="s">
        <v>1020</v>
      </c>
      <c r="G165">
        <v>164</v>
      </c>
      <c r="H165" t="str">
        <f>VLOOKUP(A165,'[1]All Publications'!$C$2:$I$439,7,FALSE)</f>
        <v>S3-S5</v>
      </c>
    </row>
    <row r="166" spans="1:8" x14ac:dyDescent="0.35">
      <c r="A166" t="s">
        <v>738</v>
      </c>
      <c r="B166" t="s">
        <v>932</v>
      </c>
      <c r="D166">
        <v>2026</v>
      </c>
      <c r="E166" t="s">
        <v>1190</v>
      </c>
      <c r="F166" t="s">
        <v>1018</v>
      </c>
      <c r="G166">
        <v>165</v>
      </c>
      <c r="H166" t="str">
        <f>VLOOKUP(A166,'[1]All Publications'!$C$2:$I$439,7,FALSE)</f>
        <v>S2</v>
      </c>
    </row>
    <row r="167" spans="1:8" x14ac:dyDescent="0.35">
      <c r="A167" t="s">
        <v>739</v>
      </c>
      <c r="B167" t="s">
        <v>933</v>
      </c>
      <c r="D167">
        <v>2025</v>
      </c>
      <c r="E167" t="s">
        <v>1191</v>
      </c>
      <c r="F167" t="s">
        <v>1022</v>
      </c>
      <c r="G167">
        <v>166</v>
      </c>
      <c r="H167" t="str">
        <f>VLOOKUP(A167,'[1]All Publications'!$C$2:$I$439,7,FALSE)</f>
        <v>-</v>
      </c>
    </row>
    <row r="168" spans="1:8" x14ac:dyDescent="0.35">
      <c r="A168" t="s">
        <v>740</v>
      </c>
      <c r="B168" t="s">
        <v>934</v>
      </c>
      <c r="D168">
        <v>2025</v>
      </c>
      <c r="E168" t="s">
        <v>1192</v>
      </c>
      <c r="F168" t="s">
        <v>1023</v>
      </c>
      <c r="G168">
        <v>167</v>
      </c>
      <c r="H168" t="str">
        <f>VLOOKUP(A168,'[1]All Publications'!$C$2:$I$439,7,FALSE)</f>
        <v>-</v>
      </c>
    </row>
    <row r="169" spans="1:8" x14ac:dyDescent="0.35">
      <c r="A169" t="s">
        <v>741</v>
      </c>
      <c r="B169" t="s">
        <v>935</v>
      </c>
      <c r="D169">
        <v>2025</v>
      </c>
      <c r="E169" t="s">
        <v>1193</v>
      </c>
      <c r="F169" t="s">
        <v>1023</v>
      </c>
      <c r="G169">
        <v>168</v>
      </c>
      <c r="H169" t="str">
        <f>VLOOKUP(A169,'[1]All Publications'!$C$2:$I$439,7,FALSE)</f>
        <v>-</v>
      </c>
    </row>
    <row r="170" spans="1:8" x14ac:dyDescent="0.35">
      <c r="A170" t="s">
        <v>742</v>
      </c>
      <c r="B170" t="s">
        <v>936</v>
      </c>
      <c r="D170">
        <v>2025</v>
      </c>
      <c r="E170" t="s">
        <v>1194</v>
      </c>
      <c r="F170" t="s">
        <v>1023</v>
      </c>
      <c r="G170">
        <v>169</v>
      </c>
      <c r="H170" t="str">
        <f>VLOOKUP(A170,'[1]All Publications'!$C$2:$I$439,7,FALSE)</f>
        <v>-</v>
      </c>
    </row>
    <row r="171" spans="1:8" x14ac:dyDescent="0.35">
      <c r="A171" t="s">
        <v>743</v>
      </c>
      <c r="B171" t="s">
        <v>937</v>
      </c>
      <c r="D171">
        <v>2024</v>
      </c>
      <c r="E171" t="s">
        <v>1195</v>
      </c>
      <c r="F171" t="s">
        <v>1025</v>
      </c>
      <c r="G171">
        <v>170</v>
      </c>
      <c r="H171" t="str">
        <f>VLOOKUP(A171,'[1]All Publications'!$C$2:$I$439,7,FALSE)</f>
        <v>-</v>
      </c>
    </row>
    <row r="172" spans="1:8" x14ac:dyDescent="0.35">
      <c r="A172" t="s">
        <v>744</v>
      </c>
      <c r="B172" t="s">
        <v>938</v>
      </c>
      <c r="D172">
        <v>2024</v>
      </c>
      <c r="E172" t="s">
        <v>1196</v>
      </c>
      <c r="F172" t="s">
        <v>1020</v>
      </c>
      <c r="G172">
        <v>171</v>
      </c>
      <c r="H172" t="str">
        <f>VLOOKUP(A172,'[1]All Publications'!$C$2:$I$439,7,FALSE)</f>
        <v>S3-S5</v>
      </c>
    </row>
    <row r="173" spans="1:8" x14ac:dyDescent="0.35">
      <c r="A173" t="s">
        <v>264</v>
      </c>
      <c r="B173" t="s">
        <v>916</v>
      </c>
      <c r="D173">
        <v>2024</v>
      </c>
      <c r="E173" t="s">
        <v>1197</v>
      </c>
      <c r="F173" t="s">
        <v>1018</v>
      </c>
      <c r="G173">
        <v>172</v>
      </c>
      <c r="H173" t="str">
        <f>VLOOKUP(A173,'[1]All Publications'!$C$2:$I$439,7,FALSE)</f>
        <v>-</v>
      </c>
    </row>
    <row r="174" spans="1:8" x14ac:dyDescent="0.35">
      <c r="A174" t="s">
        <v>745</v>
      </c>
      <c r="B174" t="s">
        <v>939</v>
      </c>
      <c r="D174">
        <v>2024</v>
      </c>
      <c r="E174" t="s">
        <v>1198</v>
      </c>
      <c r="F174" t="s">
        <v>1025</v>
      </c>
      <c r="G174">
        <v>173</v>
      </c>
      <c r="H174" t="str">
        <f>VLOOKUP(A174,'[1]All Publications'!$C$2:$I$439,7,FALSE)</f>
        <v>-</v>
      </c>
    </row>
    <row r="175" spans="1:8" x14ac:dyDescent="0.35">
      <c r="A175" t="s">
        <v>746</v>
      </c>
      <c r="B175" t="s">
        <v>940</v>
      </c>
      <c r="D175">
        <v>2024</v>
      </c>
      <c r="E175" t="s">
        <v>1199</v>
      </c>
      <c r="F175" t="s">
        <v>1021</v>
      </c>
      <c r="G175">
        <v>174</v>
      </c>
      <c r="H175" t="str">
        <f>VLOOKUP(A175,'[1]All Publications'!$C$2:$I$439,7,FALSE)</f>
        <v>-</v>
      </c>
    </row>
    <row r="176" spans="1:8" x14ac:dyDescent="0.35">
      <c r="A176" t="s">
        <v>747</v>
      </c>
      <c r="B176" t="s">
        <v>941</v>
      </c>
      <c r="D176">
        <v>2024</v>
      </c>
      <c r="E176" t="s">
        <v>1200</v>
      </c>
      <c r="F176" t="s">
        <v>1021</v>
      </c>
      <c r="G176">
        <v>175</v>
      </c>
      <c r="H176" t="str">
        <f>VLOOKUP(A176,'[1]All Publications'!$C$2:$I$439,7,FALSE)</f>
        <v>-</v>
      </c>
    </row>
    <row r="177" spans="1:8" x14ac:dyDescent="0.35">
      <c r="A177" t="s">
        <v>748</v>
      </c>
      <c r="B177" t="s">
        <v>942</v>
      </c>
      <c r="D177">
        <v>2024</v>
      </c>
      <c r="E177" t="s">
        <v>1201</v>
      </c>
      <c r="F177" t="s">
        <v>1023</v>
      </c>
      <c r="G177">
        <v>176</v>
      </c>
      <c r="H177" t="str">
        <f>VLOOKUP(A177,'[1]All Publications'!$C$2:$I$439,7,FALSE)</f>
        <v>-</v>
      </c>
    </row>
    <row r="178" spans="1:8" x14ac:dyDescent="0.35">
      <c r="A178" t="s">
        <v>726</v>
      </c>
      <c r="B178" t="s">
        <v>919</v>
      </c>
      <c r="D178">
        <v>2023</v>
      </c>
      <c r="E178" t="s">
        <v>1202</v>
      </c>
      <c r="F178" t="s">
        <v>1018</v>
      </c>
      <c r="G178">
        <v>177</v>
      </c>
      <c r="H178" t="str">
        <f>VLOOKUP(A178,'[1]All Publications'!$C$2:$I$439,7,FALSE)</f>
        <v>-</v>
      </c>
    </row>
    <row r="179" spans="1:8" x14ac:dyDescent="0.35">
      <c r="A179" t="s">
        <v>749</v>
      </c>
      <c r="B179" t="s">
        <v>943</v>
      </c>
      <c r="D179">
        <v>2023</v>
      </c>
      <c r="E179" t="s">
        <v>1203</v>
      </c>
      <c r="F179" t="s">
        <v>1023</v>
      </c>
      <c r="G179">
        <v>178</v>
      </c>
      <c r="H179" t="str">
        <f>VLOOKUP(A179,'[1]All Publications'!$C$2:$I$439,7,FALSE)</f>
        <v>S3-S5</v>
      </c>
    </row>
    <row r="180" spans="1:8" x14ac:dyDescent="0.35">
      <c r="A180" t="s">
        <v>750</v>
      </c>
      <c r="B180" t="s">
        <v>944</v>
      </c>
      <c r="D180">
        <v>2021</v>
      </c>
      <c r="E180" t="s">
        <v>1204</v>
      </c>
      <c r="F180" t="s">
        <v>1018</v>
      </c>
      <c r="G180">
        <v>179</v>
      </c>
      <c r="H180" t="str">
        <f>VLOOKUP(A180,'[1]All Publications'!$C$2:$I$439,7,FALSE)</f>
        <v>-</v>
      </c>
    </row>
    <row r="181" spans="1:8" x14ac:dyDescent="0.35">
      <c r="A181" t="s">
        <v>751</v>
      </c>
      <c r="B181" t="s">
        <v>945</v>
      </c>
      <c r="D181">
        <v>2020</v>
      </c>
      <c r="E181" t="s">
        <v>1205</v>
      </c>
      <c r="F181" t="s">
        <v>1023</v>
      </c>
      <c r="G181">
        <v>180</v>
      </c>
      <c r="H181" t="str">
        <f>VLOOKUP(A181,'[1]All Publications'!$C$2:$I$439,7,FALSE)</f>
        <v>-</v>
      </c>
    </row>
    <row r="182" spans="1:8" x14ac:dyDescent="0.35">
      <c r="A182" t="s">
        <v>752</v>
      </c>
      <c r="B182" t="s">
        <v>946</v>
      </c>
      <c r="D182">
        <v>2020</v>
      </c>
      <c r="E182" t="s">
        <v>1206</v>
      </c>
      <c r="F182" t="s">
        <v>1023</v>
      </c>
      <c r="G182">
        <v>181</v>
      </c>
      <c r="H182" t="str">
        <f>VLOOKUP(A182,'[1]All Publications'!$C$2:$I$439,7,FALSE)</f>
        <v>-</v>
      </c>
    </row>
    <row r="183" spans="1:8" x14ac:dyDescent="0.35">
      <c r="A183" t="s">
        <v>753</v>
      </c>
      <c r="B183" t="s">
        <v>947</v>
      </c>
      <c r="D183">
        <v>2020</v>
      </c>
      <c r="E183" t="s">
        <v>1207</v>
      </c>
      <c r="F183" t="s">
        <v>1019</v>
      </c>
      <c r="G183">
        <v>182</v>
      </c>
      <c r="H183" t="str">
        <f>VLOOKUP(A183,'[1]All Publications'!$C$2:$I$439,7,FALSE)</f>
        <v>-</v>
      </c>
    </row>
    <row r="184" spans="1:8" x14ac:dyDescent="0.35">
      <c r="A184" t="s">
        <v>754</v>
      </c>
      <c r="B184" t="s">
        <v>948</v>
      </c>
      <c r="D184">
        <v>2021</v>
      </c>
      <c r="E184" t="s">
        <v>1208</v>
      </c>
      <c r="F184" t="s">
        <v>1018</v>
      </c>
      <c r="G184">
        <v>183</v>
      </c>
      <c r="H184" t="str">
        <f>VLOOKUP(A184,'[1]All Publications'!$C$2:$I$439,7,FALSE)</f>
        <v>-</v>
      </c>
    </row>
    <row r="185" spans="1:8" x14ac:dyDescent="0.35">
      <c r="A185" t="s">
        <v>603</v>
      </c>
      <c r="B185" t="s">
        <v>819</v>
      </c>
      <c r="D185">
        <v>2022</v>
      </c>
      <c r="E185" t="s">
        <v>1209</v>
      </c>
      <c r="F185" t="s">
        <v>1020</v>
      </c>
      <c r="G185">
        <v>184</v>
      </c>
      <c r="H185" t="str">
        <f>VLOOKUP(A185,'[1]All Publications'!$C$2:$I$439,7,FALSE)</f>
        <v>S3-S5</v>
      </c>
    </row>
    <row r="186" spans="1:8" x14ac:dyDescent="0.35">
      <c r="A186" t="s">
        <v>755</v>
      </c>
      <c r="B186" t="s">
        <v>949</v>
      </c>
      <c r="D186">
        <v>2023</v>
      </c>
      <c r="E186" t="s">
        <v>1210</v>
      </c>
      <c r="F186" t="s">
        <v>1019</v>
      </c>
      <c r="G186">
        <v>185</v>
      </c>
      <c r="H186" t="str">
        <f>VLOOKUP(A186,'[1]All Publications'!$C$2:$I$439,7,FALSE)</f>
        <v>-</v>
      </c>
    </row>
    <row r="187" spans="1:8" x14ac:dyDescent="0.35">
      <c r="A187" t="s">
        <v>756</v>
      </c>
      <c r="B187" t="s">
        <v>950</v>
      </c>
      <c r="D187">
        <v>2020</v>
      </c>
      <c r="E187" t="s">
        <v>1211</v>
      </c>
      <c r="F187" t="s">
        <v>1021</v>
      </c>
      <c r="G187">
        <v>186</v>
      </c>
      <c r="H187" t="str">
        <f>VLOOKUP(A187,'[1]All Publications'!$C$2:$I$439,7,FALSE)</f>
        <v>-</v>
      </c>
    </row>
    <row r="188" spans="1:8" x14ac:dyDescent="0.35">
      <c r="A188" t="s">
        <v>757</v>
      </c>
      <c r="B188" t="s">
        <v>951</v>
      </c>
      <c r="D188">
        <v>2021</v>
      </c>
      <c r="E188" t="s">
        <v>1212</v>
      </c>
      <c r="F188" t="s">
        <v>1021</v>
      </c>
      <c r="G188">
        <v>187</v>
      </c>
      <c r="H188" t="str">
        <f>VLOOKUP(A188,'[1]All Publications'!$C$2:$I$439,7,FALSE)</f>
        <v>-</v>
      </c>
    </row>
    <row r="189" spans="1:8" x14ac:dyDescent="0.35">
      <c r="A189" t="s">
        <v>758</v>
      </c>
      <c r="B189" t="s">
        <v>952</v>
      </c>
      <c r="D189">
        <v>2020</v>
      </c>
      <c r="E189" t="s">
        <v>1213</v>
      </c>
      <c r="F189" t="s">
        <v>1018</v>
      </c>
      <c r="G189">
        <v>188</v>
      </c>
      <c r="H189" t="str">
        <f>VLOOKUP(A189,'[1]All Publications'!$C$2:$I$439,7,FALSE)</f>
        <v>S3</v>
      </c>
    </row>
    <row r="190" spans="1:8" x14ac:dyDescent="0.35">
      <c r="A190" t="s">
        <v>490</v>
      </c>
      <c r="B190" t="s">
        <v>821</v>
      </c>
      <c r="D190">
        <v>2023</v>
      </c>
      <c r="E190" t="s">
        <v>1214</v>
      </c>
      <c r="F190" t="s">
        <v>1019</v>
      </c>
      <c r="G190">
        <v>189</v>
      </c>
      <c r="H190" t="str">
        <f>VLOOKUP(A190,'[1]All Publications'!$C$2:$I$439,7,FALSE)</f>
        <v>-</v>
      </c>
    </row>
    <row r="191" spans="1:8" x14ac:dyDescent="0.35">
      <c r="A191" t="s">
        <v>493</v>
      </c>
      <c r="B191" t="s">
        <v>818</v>
      </c>
      <c r="D191">
        <v>2022</v>
      </c>
      <c r="E191" t="s">
        <v>1215</v>
      </c>
      <c r="F191" t="s">
        <v>1022</v>
      </c>
      <c r="G191">
        <v>190</v>
      </c>
      <c r="H191" t="str">
        <f>VLOOKUP(A191,'[1]All Publications'!$C$2:$I$439,7,FALSE)</f>
        <v>-</v>
      </c>
    </row>
    <row r="192" spans="1:8" x14ac:dyDescent="0.35">
      <c r="A192" t="s">
        <v>759</v>
      </c>
      <c r="B192" t="s">
        <v>953</v>
      </c>
      <c r="D192">
        <v>2021</v>
      </c>
      <c r="E192" t="s">
        <v>1216</v>
      </c>
      <c r="F192" t="s">
        <v>1019</v>
      </c>
      <c r="G192">
        <v>191</v>
      </c>
      <c r="H192" t="str">
        <f>VLOOKUP(A192,'[1]All Publications'!$C$2:$I$439,7,FALSE)</f>
        <v>-</v>
      </c>
    </row>
    <row r="193" spans="1:8" x14ac:dyDescent="0.35">
      <c r="A193" t="s">
        <v>489</v>
      </c>
      <c r="B193" t="s">
        <v>818</v>
      </c>
      <c r="D193">
        <v>2023</v>
      </c>
      <c r="E193" t="s">
        <v>1217</v>
      </c>
      <c r="F193" t="s">
        <v>1018</v>
      </c>
      <c r="G193">
        <v>192</v>
      </c>
      <c r="H193" t="str">
        <f>VLOOKUP(A193,'[1]All Publications'!$C$2:$I$439,7,FALSE)</f>
        <v>S3</v>
      </c>
    </row>
    <row r="194" spans="1:8" x14ac:dyDescent="0.35">
      <c r="A194" t="s">
        <v>508</v>
      </c>
      <c r="B194" t="s">
        <v>954</v>
      </c>
      <c r="D194">
        <v>2024</v>
      </c>
      <c r="E194" t="s">
        <v>1218</v>
      </c>
      <c r="F194" t="s">
        <v>1019</v>
      </c>
      <c r="G194">
        <v>193</v>
      </c>
      <c r="H194" t="str">
        <f>VLOOKUP(A194,'[1]All Publications'!$C$2:$I$439,7,FALSE)</f>
        <v>-</v>
      </c>
    </row>
    <row r="195" spans="1:8" x14ac:dyDescent="0.35">
      <c r="A195" t="s">
        <v>760</v>
      </c>
      <c r="B195" t="s">
        <v>955</v>
      </c>
      <c r="D195">
        <v>2023</v>
      </c>
      <c r="E195" t="s">
        <v>1219</v>
      </c>
      <c r="F195" t="s">
        <v>1019</v>
      </c>
      <c r="G195">
        <v>194</v>
      </c>
      <c r="H195" t="str">
        <f>VLOOKUP(A195,'[1]All Publications'!$C$2:$I$439,7,FALSE)</f>
        <v>-</v>
      </c>
    </row>
    <row r="196" spans="1:8" x14ac:dyDescent="0.35">
      <c r="A196" t="s">
        <v>613</v>
      </c>
      <c r="B196" t="s">
        <v>819</v>
      </c>
      <c r="D196">
        <v>2022</v>
      </c>
      <c r="E196" t="s">
        <v>1220</v>
      </c>
      <c r="F196" t="s">
        <v>1020</v>
      </c>
      <c r="G196">
        <v>195</v>
      </c>
      <c r="H196" t="str">
        <f>VLOOKUP(A196,'[1]All Publications'!$C$2:$I$439,7,FALSE)</f>
        <v>-</v>
      </c>
    </row>
    <row r="197" spans="1:8" x14ac:dyDescent="0.35">
      <c r="A197" t="s">
        <v>761</v>
      </c>
      <c r="B197" t="s">
        <v>956</v>
      </c>
      <c r="D197">
        <v>2021</v>
      </c>
      <c r="E197" t="s">
        <v>1221</v>
      </c>
      <c r="F197" t="s">
        <v>1023</v>
      </c>
      <c r="G197">
        <v>196</v>
      </c>
      <c r="H197" t="str">
        <f>VLOOKUP(A197,'[1]All Publications'!$C$2:$I$439,7,FALSE)</f>
        <v>S3-S5</v>
      </c>
    </row>
    <row r="198" spans="1:8" x14ac:dyDescent="0.35">
      <c r="A198" t="s">
        <v>762</v>
      </c>
      <c r="B198" t="s">
        <v>957</v>
      </c>
      <c r="D198">
        <v>2021</v>
      </c>
      <c r="E198" t="s">
        <v>1222</v>
      </c>
      <c r="F198" t="s">
        <v>1019</v>
      </c>
      <c r="G198">
        <v>197</v>
      </c>
      <c r="H198" t="str">
        <f>VLOOKUP(A198,'[1]All Publications'!$C$2:$I$439,7,FALSE)</f>
        <v>-</v>
      </c>
    </row>
    <row r="199" spans="1:8" x14ac:dyDescent="0.35">
      <c r="A199" t="s">
        <v>763</v>
      </c>
      <c r="B199" t="s">
        <v>958</v>
      </c>
      <c r="D199">
        <v>2025</v>
      </c>
      <c r="E199" t="s">
        <v>1223</v>
      </c>
      <c r="F199" t="s">
        <v>1019</v>
      </c>
      <c r="G199">
        <v>198</v>
      </c>
      <c r="H199" t="str">
        <f>VLOOKUP(A199,'[1]All Publications'!$C$2:$I$439,7,FALSE)</f>
        <v>-</v>
      </c>
    </row>
    <row r="200" spans="1:8" x14ac:dyDescent="0.35">
      <c r="A200" t="s">
        <v>764</v>
      </c>
      <c r="B200" t="s">
        <v>959</v>
      </c>
      <c r="D200">
        <v>2022</v>
      </c>
      <c r="E200" t="s">
        <v>1224</v>
      </c>
      <c r="F200" t="s">
        <v>1021</v>
      </c>
      <c r="G200">
        <v>199</v>
      </c>
      <c r="H200" t="str">
        <f>VLOOKUP(A200,'[1]All Publications'!$C$2:$I$439,7,FALSE)</f>
        <v>-</v>
      </c>
    </row>
    <row r="201" spans="1:8" x14ac:dyDescent="0.35">
      <c r="A201" t="s">
        <v>765</v>
      </c>
      <c r="B201" t="s">
        <v>960</v>
      </c>
      <c r="D201">
        <v>2022</v>
      </c>
      <c r="E201" t="s">
        <v>1225</v>
      </c>
      <c r="F201" t="s">
        <v>1018</v>
      </c>
      <c r="G201">
        <v>200</v>
      </c>
      <c r="H201" t="str">
        <f>VLOOKUP(A201,'[1]All Publications'!$C$2:$I$439,7,FALSE)</f>
        <v>-</v>
      </c>
    </row>
    <row r="202" spans="1:8" x14ac:dyDescent="0.35">
      <c r="A202" t="s">
        <v>486</v>
      </c>
      <c r="B202" t="s">
        <v>927</v>
      </c>
      <c r="D202">
        <v>2020</v>
      </c>
      <c r="E202" t="s">
        <v>1226</v>
      </c>
      <c r="F202" t="s">
        <v>1018</v>
      </c>
      <c r="G202">
        <v>201</v>
      </c>
      <c r="H202" t="str">
        <f>VLOOKUP(A202,'[1]All Publications'!$C$2:$I$439,7,FALSE)</f>
        <v>S2</v>
      </c>
    </row>
    <row r="203" spans="1:8" x14ac:dyDescent="0.35">
      <c r="A203" t="s">
        <v>622</v>
      </c>
      <c r="B203" t="s">
        <v>819</v>
      </c>
      <c r="D203">
        <v>2025</v>
      </c>
      <c r="E203" t="s">
        <v>1227</v>
      </c>
      <c r="F203" t="s">
        <v>1018</v>
      </c>
      <c r="G203">
        <v>202</v>
      </c>
      <c r="H203" t="str">
        <f>VLOOKUP(A203,'[1]All Publications'!$C$2:$I$439,7,FALSE)</f>
        <v>S2</v>
      </c>
    </row>
    <row r="204" spans="1:8" x14ac:dyDescent="0.35">
      <c r="A204" t="s">
        <v>507</v>
      </c>
      <c r="B204" t="s">
        <v>961</v>
      </c>
      <c r="D204">
        <v>2024</v>
      </c>
      <c r="E204" t="s">
        <v>1228</v>
      </c>
      <c r="F204" t="s">
        <v>1019</v>
      </c>
      <c r="G204">
        <v>203</v>
      </c>
      <c r="H204" t="str">
        <f>VLOOKUP(A204,'[1]All Publications'!$C$2:$I$439,7,FALSE)</f>
        <v>-</v>
      </c>
    </row>
    <row r="205" spans="1:8" x14ac:dyDescent="0.35">
      <c r="A205" t="s">
        <v>627</v>
      </c>
      <c r="B205" t="s">
        <v>833</v>
      </c>
      <c r="D205">
        <v>2023</v>
      </c>
      <c r="E205" t="s">
        <v>1229</v>
      </c>
      <c r="F205" t="s">
        <v>1023</v>
      </c>
      <c r="G205">
        <v>204</v>
      </c>
      <c r="H205" t="str">
        <f>VLOOKUP(A205,'[1]All Publications'!$C$2:$I$439,7,FALSE)</f>
        <v>S3-S5</v>
      </c>
    </row>
    <row r="206" spans="1:8" x14ac:dyDescent="0.35">
      <c r="A206" t="s">
        <v>511</v>
      </c>
      <c r="B206" t="s">
        <v>951</v>
      </c>
      <c r="D206">
        <v>2023</v>
      </c>
      <c r="E206" t="s">
        <v>1230</v>
      </c>
      <c r="F206" t="s">
        <v>1018</v>
      </c>
      <c r="G206">
        <v>205</v>
      </c>
      <c r="H206" t="str">
        <f>VLOOKUP(A206,'[1]All Publications'!$C$2:$I$439,7,FALSE)</f>
        <v>-</v>
      </c>
    </row>
    <row r="207" spans="1:8" x14ac:dyDescent="0.35">
      <c r="A207" t="s">
        <v>510</v>
      </c>
      <c r="B207" t="s">
        <v>962</v>
      </c>
      <c r="D207">
        <v>2023</v>
      </c>
      <c r="E207" t="s">
        <v>1231</v>
      </c>
      <c r="F207" t="s">
        <v>1021</v>
      </c>
      <c r="G207">
        <v>206</v>
      </c>
      <c r="H207" t="str">
        <f>VLOOKUP(A207,'[1]All Publications'!$C$2:$I$439,7,FALSE)</f>
        <v>-</v>
      </c>
    </row>
    <row r="208" spans="1:8" x14ac:dyDescent="0.35">
      <c r="A208" t="s">
        <v>766</v>
      </c>
      <c r="B208" t="s">
        <v>963</v>
      </c>
      <c r="D208">
        <v>2023</v>
      </c>
      <c r="E208" t="s">
        <v>1232</v>
      </c>
      <c r="F208" t="s">
        <v>1021</v>
      </c>
      <c r="G208">
        <v>207</v>
      </c>
      <c r="H208" t="str">
        <f>VLOOKUP(A208,'[1]All Publications'!$C$2:$I$439,7,FALSE)</f>
        <v>-</v>
      </c>
    </row>
    <row r="209" spans="1:8" x14ac:dyDescent="0.35">
      <c r="A209" t="s">
        <v>491</v>
      </c>
      <c r="B209" t="s">
        <v>819</v>
      </c>
      <c r="D209">
        <v>2023</v>
      </c>
      <c r="E209" t="s">
        <v>1233</v>
      </c>
      <c r="F209" t="s">
        <v>1021</v>
      </c>
      <c r="G209">
        <v>208</v>
      </c>
      <c r="H209" t="str">
        <f>VLOOKUP(A209,'[1]All Publications'!$C$2:$I$439,7,FALSE)</f>
        <v>-</v>
      </c>
    </row>
    <row r="210" spans="1:8" x14ac:dyDescent="0.35">
      <c r="A210" t="s">
        <v>767</v>
      </c>
      <c r="B210" t="s">
        <v>964</v>
      </c>
      <c r="D210">
        <v>2022</v>
      </c>
      <c r="E210" t="s">
        <v>1234</v>
      </c>
      <c r="F210" t="s">
        <v>1018</v>
      </c>
      <c r="G210">
        <v>209</v>
      </c>
      <c r="H210" t="str">
        <f>VLOOKUP(A210,'[1]All Publications'!$C$2:$I$439,7,FALSE)</f>
        <v>-</v>
      </c>
    </row>
    <row r="211" spans="1:8" x14ac:dyDescent="0.35">
      <c r="A211" t="s">
        <v>768</v>
      </c>
      <c r="B211" t="s">
        <v>965</v>
      </c>
      <c r="D211">
        <v>2021</v>
      </c>
      <c r="E211" t="s">
        <v>1235</v>
      </c>
      <c r="F211" t="s">
        <v>1018</v>
      </c>
      <c r="G211">
        <v>210</v>
      </c>
      <c r="H211" t="str">
        <f>VLOOKUP(A211,'[1]All Publications'!$C$2:$I$439,7,FALSE)</f>
        <v>S2</v>
      </c>
    </row>
    <row r="212" spans="1:8" x14ac:dyDescent="0.35">
      <c r="A212" t="s">
        <v>769</v>
      </c>
      <c r="B212" t="s">
        <v>966</v>
      </c>
      <c r="D212">
        <v>2026</v>
      </c>
      <c r="E212" t="s">
        <v>1236</v>
      </c>
      <c r="F212" t="s">
        <v>1019</v>
      </c>
      <c r="G212">
        <v>211</v>
      </c>
      <c r="H212" t="str">
        <f>VLOOKUP(A212,'[1]All Publications'!$C$2:$I$439,7,FALSE)</f>
        <v>-</v>
      </c>
    </row>
    <row r="213" spans="1:8" x14ac:dyDescent="0.35">
      <c r="A213" t="s">
        <v>770</v>
      </c>
      <c r="B213" t="s">
        <v>967</v>
      </c>
      <c r="D213">
        <v>2026</v>
      </c>
      <c r="E213" t="s">
        <v>1237</v>
      </c>
      <c r="F213" t="s">
        <v>1019</v>
      </c>
      <c r="G213">
        <v>212</v>
      </c>
      <c r="H213" t="str">
        <f>VLOOKUP(A213,'[1]All Publications'!$C$2:$I$439,7,FALSE)</f>
        <v>-</v>
      </c>
    </row>
    <row r="214" spans="1:8" x14ac:dyDescent="0.35">
      <c r="A214" t="s">
        <v>771</v>
      </c>
      <c r="B214" t="s">
        <v>968</v>
      </c>
      <c r="D214">
        <v>2025</v>
      </c>
      <c r="E214" t="s">
        <v>1238</v>
      </c>
      <c r="F214" t="s">
        <v>1019</v>
      </c>
      <c r="G214">
        <v>213</v>
      </c>
      <c r="H214" t="str">
        <f>VLOOKUP(A214,'[1]All Publications'!$C$2:$I$439,7,FALSE)</f>
        <v>-</v>
      </c>
    </row>
    <row r="215" spans="1:8" x14ac:dyDescent="0.35">
      <c r="A215" t="s">
        <v>772</v>
      </c>
      <c r="B215" t="s">
        <v>969</v>
      </c>
      <c r="D215">
        <v>2025</v>
      </c>
      <c r="E215" t="s">
        <v>1239</v>
      </c>
      <c r="F215" t="s">
        <v>1019</v>
      </c>
      <c r="G215">
        <v>214</v>
      </c>
      <c r="H215" t="str">
        <f>VLOOKUP(A215,'[1]All Publications'!$C$2:$I$439,7,FALSE)</f>
        <v>-</v>
      </c>
    </row>
    <row r="216" spans="1:8" x14ac:dyDescent="0.35">
      <c r="A216" t="s">
        <v>773</v>
      </c>
      <c r="B216" t="s">
        <v>970</v>
      </c>
      <c r="D216">
        <v>2025</v>
      </c>
      <c r="E216" t="s">
        <v>1240</v>
      </c>
      <c r="F216" t="s">
        <v>1023</v>
      </c>
      <c r="G216">
        <v>215</v>
      </c>
      <c r="H216" t="str">
        <f>VLOOKUP(A216,'[1]All Publications'!$C$2:$I$439,7,FALSE)</f>
        <v>-</v>
      </c>
    </row>
    <row r="217" spans="1:8" x14ac:dyDescent="0.35">
      <c r="A217" t="s">
        <v>774</v>
      </c>
      <c r="B217" t="s">
        <v>971</v>
      </c>
      <c r="D217">
        <v>2024</v>
      </c>
      <c r="E217" t="s">
        <v>1241</v>
      </c>
      <c r="F217" t="s">
        <v>1018</v>
      </c>
      <c r="G217">
        <v>216</v>
      </c>
      <c r="H217" t="str">
        <f>VLOOKUP(A217,'[1]All Publications'!$C$2:$I$439,7,FALSE)</f>
        <v>-</v>
      </c>
    </row>
    <row r="218" spans="1:8" x14ac:dyDescent="0.35">
      <c r="A218" t="s">
        <v>643</v>
      </c>
      <c r="B218" t="s">
        <v>845</v>
      </c>
      <c r="D218">
        <v>2024</v>
      </c>
      <c r="E218" t="s">
        <v>1242</v>
      </c>
      <c r="F218" t="s">
        <v>1020</v>
      </c>
      <c r="G218">
        <v>217</v>
      </c>
      <c r="H218" t="str">
        <f>VLOOKUP(A218,'[1]All Publications'!$C$2:$I$439,7,FALSE)</f>
        <v>S3-S5</v>
      </c>
    </row>
    <row r="219" spans="1:8" x14ac:dyDescent="0.35">
      <c r="A219" t="s">
        <v>645</v>
      </c>
      <c r="B219" t="s">
        <v>847</v>
      </c>
      <c r="D219">
        <v>2024</v>
      </c>
      <c r="E219" t="s">
        <v>1243</v>
      </c>
      <c r="F219" t="s">
        <v>1020</v>
      </c>
      <c r="G219">
        <v>218</v>
      </c>
      <c r="H219" t="str">
        <f>VLOOKUP(A219,'[1]All Publications'!$C$2:$I$439,7,FALSE)</f>
        <v>S3-S5</v>
      </c>
    </row>
    <row r="220" spans="1:8" x14ac:dyDescent="0.35">
      <c r="A220" t="s">
        <v>775</v>
      </c>
      <c r="B220" t="s">
        <v>972</v>
      </c>
      <c r="D220">
        <v>2021</v>
      </c>
      <c r="E220" t="s">
        <v>1244</v>
      </c>
      <c r="F220" t="s">
        <v>1023</v>
      </c>
      <c r="G220">
        <v>219</v>
      </c>
      <c r="H220" t="str">
        <f>VLOOKUP(A220,'[1]All Publications'!$C$2:$I$439,7,FALSE)</f>
        <v>S3-S5</v>
      </c>
    </row>
    <row r="221" spans="1:8" x14ac:dyDescent="0.35">
      <c r="A221" t="s">
        <v>776</v>
      </c>
      <c r="B221" t="s">
        <v>947</v>
      </c>
      <c r="D221">
        <v>2021</v>
      </c>
      <c r="E221" t="s">
        <v>1245</v>
      </c>
      <c r="F221" t="s">
        <v>1023</v>
      </c>
      <c r="G221">
        <v>220</v>
      </c>
      <c r="H221" t="str">
        <f>VLOOKUP(A221,'[1]All Publications'!$C$2:$I$439,7,FALSE)</f>
        <v>S3-S5</v>
      </c>
    </row>
    <row r="222" spans="1:8" x14ac:dyDescent="0.35">
      <c r="A222" t="s">
        <v>777</v>
      </c>
      <c r="B222" t="s">
        <v>973</v>
      </c>
      <c r="D222">
        <v>2020</v>
      </c>
      <c r="E222" t="s">
        <v>1246</v>
      </c>
      <c r="F222" t="s">
        <v>1023</v>
      </c>
      <c r="G222">
        <v>221</v>
      </c>
      <c r="H222" t="str">
        <f>VLOOKUP(A222,'[1]All Publications'!$C$2:$I$439,7,FALSE)</f>
        <v>S3-S5</v>
      </c>
    </row>
    <row r="223" spans="1:8" x14ac:dyDescent="0.35">
      <c r="A223" t="s">
        <v>778</v>
      </c>
      <c r="B223" t="s">
        <v>974</v>
      </c>
      <c r="D223">
        <v>2023</v>
      </c>
      <c r="E223" t="s">
        <v>1247</v>
      </c>
      <c r="F223" t="s">
        <v>1018</v>
      </c>
      <c r="G223">
        <v>222</v>
      </c>
      <c r="H223" t="str">
        <f>VLOOKUP(A223,'[1]All Publications'!$C$2:$I$439,7,FALSE)</f>
        <v>-</v>
      </c>
    </row>
    <row r="224" spans="1:8" x14ac:dyDescent="0.35">
      <c r="A224" t="s">
        <v>606</v>
      </c>
      <c r="B224" t="s">
        <v>822</v>
      </c>
      <c r="D224">
        <v>2020</v>
      </c>
      <c r="E224" t="s">
        <v>1248</v>
      </c>
      <c r="F224" t="s">
        <v>1018</v>
      </c>
      <c r="G224">
        <v>223</v>
      </c>
      <c r="H224" t="str">
        <f>VLOOKUP(A224,'[1]All Publications'!$C$2:$I$439,7,FALSE)</f>
        <v>S1</v>
      </c>
    </row>
    <row r="225" spans="1:8" x14ac:dyDescent="0.35">
      <c r="A225" t="s">
        <v>707</v>
      </c>
      <c r="B225" t="s">
        <v>900</v>
      </c>
      <c r="D225">
        <v>2023</v>
      </c>
      <c r="E225" t="s">
        <v>1249</v>
      </c>
      <c r="F225" t="s">
        <v>1020</v>
      </c>
      <c r="G225">
        <v>224</v>
      </c>
      <c r="H225" t="str">
        <f>VLOOKUP(A225,'[1]All Publications'!$C$2:$I$439,7,FALSE)</f>
        <v>S3-S5</v>
      </c>
    </row>
    <row r="226" spans="1:8" x14ac:dyDescent="0.35">
      <c r="A226" t="s">
        <v>779</v>
      </c>
      <c r="B226" t="s">
        <v>975</v>
      </c>
      <c r="D226">
        <v>2025</v>
      </c>
      <c r="E226" t="s">
        <v>1250</v>
      </c>
      <c r="F226" t="s">
        <v>1020</v>
      </c>
      <c r="G226">
        <v>225</v>
      </c>
      <c r="H226" t="str">
        <f>VLOOKUP(A226,'[1]All Publications'!$C$2:$I$439,7,FALSE)</f>
        <v>S3-S5</v>
      </c>
    </row>
    <row r="227" spans="1:8" x14ac:dyDescent="0.35">
      <c r="A227" t="s">
        <v>780</v>
      </c>
      <c r="B227" t="s">
        <v>976</v>
      </c>
      <c r="D227">
        <v>2023</v>
      </c>
      <c r="E227" t="s">
        <v>1251</v>
      </c>
      <c r="F227" t="s">
        <v>1018</v>
      </c>
      <c r="G227">
        <v>226</v>
      </c>
      <c r="H227" t="str">
        <f>VLOOKUP(A227,'[1]All Publications'!$C$2:$I$439,7,FALSE)</f>
        <v>-</v>
      </c>
    </row>
    <row r="228" spans="1:8" x14ac:dyDescent="0.35">
      <c r="A228" t="s">
        <v>781</v>
      </c>
      <c r="B228" t="s">
        <v>977</v>
      </c>
      <c r="D228">
        <v>2022</v>
      </c>
      <c r="E228" t="s">
        <v>1252</v>
      </c>
      <c r="F228" t="s">
        <v>1018</v>
      </c>
      <c r="G228">
        <v>227</v>
      </c>
      <c r="H228" t="str">
        <f>VLOOKUP(A228,'[1]All Publications'!$C$2:$I$439,7,FALSE)</f>
        <v>-</v>
      </c>
    </row>
    <row r="229" spans="1:8" x14ac:dyDescent="0.35">
      <c r="A229" t="s">
        <v>710</v>
      </c>
      <c r="B229" t="s">
        <v>903</v>
      </c>
      <c r="D229">
        <v>2024</v>
      </c>
      <c r="E229" t="s">
        <v>1253</v>
      </c>
      <c r="F229" t="s">
        <v>1020</v>
      </c>
      <c r="G229">
        <v>228</v>
      </c>
      <c r="H229" t="str">
        <f>VLOOKUP(A229,'[1]All Publications'!$C$2:$I$439,7,FALSE)</f>
        <v>S3-S5</v>
      </c>
    </row>
    <row r="230" spans="1:8" x14ac:dyDescent="0.35">
      <c r="A230" t="s">
        <v>764</v>
      </c>
      <c r="B230" t="s">
        <v>959</v>
      </c>
      <c r="D230">
        <v>2022</v>
      </c>
      <c r="E230" t="s">
        <v>1254</v>
      </c>
      <c r="F230" t="s">
        <v>1021</v>
      </c>
      <c r="G230">
        <v>229</v>
      </c>
      <c r="H230" t="str">
        <f>VLOOKUP(A230,'[1]All Publications'!$C$2:$I$439,7,FALSE)</f>
        <v>-</v>
      </c>
    </row>
    <row r="231" spans="1:8" x14ac:dyDescent="0.35">
      <c r="A231" t="s">
        <v>782</v>
      </c>
      <c r="B231" t="s">
        <v>978</v>
      </c>
      <c r="D231">
        <v>2020</v>
      </c>
      <c r="E231" t="s">
        <v>1255</v>
      </c>
      <c r="F231" t="s">
        <v>1023</v>
      </c>
      <c r="G231">
        <v>230</v>
      </c>
      <c r="H231" t="str">
        <f>VLOOKUP(A231,'[1]All Publications'!$C$2:$I$439,7,FALSE)</f>
        <v>-</v>
      </c>
    </row>
    <row r="232" spans="1:8" x14ac:dyDescent="0.35">
      <c r="A232" t="s">
        <v>783</v>
      </c>
      <c r="B232" t="s">
        <v>979</v>
      </c>
      <c r="D232">
        <v>2025</v>
      </c>
      <c r="E232" t="s">
        <v>1256</v>
      </c>
      <c r="F232" t="s">
        <v>1018</v>
      </c>
      <c r="G232">
        <v>231</v>
      </c>
      <c r="H232" t="str">
        <f>VLOOKUP(A232,'[1]All Publications'!$C$2:$I$439,7,FALSE)</f>
        <v>-</v>
      </c>
    </row>
    <row r="233" spans="1:8" x14ac:dyDescent="0.35">
      <c r="A233" t="s">
        <v>507</v>
      </c>
      <c r="B233" t="s">
        <v>961</v>
      </c>
      <c r="D233">
        <v>2024</v>
      </c>
      <c r="E233" t="s">
        <v>1257</v>
      </c>
      <c r="F233" t="s">
        <v>1019</v>
      </c>
      <c r="G233">
        <v>232</v>
      </c>
      <c r="H233" t="str">
        <f>VLOOKUP(A233,'[1]All Publications'!$C$2:$I$439,7,FALSE)</f>
        <v>-</v>
      </c>
    </row>
    <row r="234" spans="1:8" x14ac:dyDescent="0.35">
      <c r="A234" t="s">
        <v>784</v>
      </c>
      <c r="B234" t="s">
        <v>980</v>
      </c>
      <c r="D234">
        <v>2023</v>
      </c>
      <c r="E234" t="s">
        <v>1258</v>
      </c>
      <c r="F234" t="s">
        <v>1018</v>
      </c>
      <c r="G234">
        <v>233</v>
      </c>
      <c r="H234" t="str">
        <f>VLOOKUP(A234,'[1]All Publications'!$C$2:$I$439,7,FALSE)</f>
        <v>S2</v>
      </c>
    </row>
    <row r="235" spans="1:8" x14ac:dyDescent="0.35">
      <c r="A235" t="s">
        <v>766</v>
      </c>
      <c r="B235" t="s">
        <v>963</v>
      </c>
      <c r="D235">
        <v>2023</v>
      </c>
      <c r="E235" t="s">
        <v>1259</v>
      </c>
      <c r="F235" t="s">
        <v>1021</v>
      </c>
      <c r="G235">
        <v>234</v>
      </c>
      <c r="H235" t="str">
        <f>VLOOKUP(A235,'[1]All Publications'!$C$2:$I$439,7,FALSE)</f>
        <v>-</v>
      </c>
    </row>
    <row r="236" spans="1:8" x14ac:dyDescent="0.35">
      <c r="A236" t="s">
        <v>629</v>
      </c>
      <c r="B236" t="s">
        <v>835</v>
      </c>
      <c r="D236">
        <v>2023</v>
      </c>
      <c r="E236" t="s">
        <v>1260</v>
      </c>
      <c r="F236" t="s">
        <v>1018</v>
      </c>
      <c r="G236">
        <v>235</v>
      </c>
      <c r="H236" t="str">
        <f>VLOOKUP(A236,'[1]All Publications'!$C$2:$I$439,7,FALSE)</f>
        <v>S4</v>
      </c>
    </row>
    <row r="237" spans="1:8" x14ac:dyDescent="0.35">
      <c r="A237" t="s">
        <v>785</v>
      </c>
      <c r="B237" t="s">
        <v>981</v>
      </c>
      <c r="D237">
        <v>2022</v>
      </c>
      <c r="E237" t="s">
        <v>1261</v>
      </c>
      <c r="F237" t="s">
        <v>1018</v>
      </c>
      <c r="G237">
        <v>236</v>
      </c>
      <c r="H237" t="str">
        <f>VLOOKUP(A237,'[1]All Publications'!$C$2:$I$439,7,FALSE)</f>
        <v>-</v>
      </c>
    </row>
    <row r="238" spans="1:8" x14ac:dyDescent="0.35">
      <c r="A238" t="s">
        <v>768</v>
      </c>
      <c r="B238" t="s">
        <v>965</v>
      </c>
      <c r="D238">
        <v>2021</v>
      </c>
      <c r="E238" t="s">
        <v>1262</v>
      </c>
      <c r="F238" t="s">
        <v>1018</v>
      </c>
      <c r="G238">
        <v>237</v>
      </c>
      <c r="H238" t="str">
        <f>VLOOKUP(A238,'[1]All Publications'!$C$2:$I$439,7,FALSE)</f>
        <v>S2</v>
      </c>
    </row>
    <row r="239" spans="1:8" x14ac:dyDescent="0.35">
      <c r="A239" t="s">
        <v>786</v>
      </c>
      <c r="B239" t="s">
        <v>982</v>
      </c>
      <c r="D239">
        <v>2020</v>
      </c>
      <c r="E239" t="s">
        <v>1263</v>
      </c>
      <c r="F239" t="s">
        <v>1023</v>
      </c>
      <c r="G239">
        <v>238</v>
      </c>
      <c r="H239" t="str">
        <f>VLOOKUP(A239,'[1]All Publications'!$C$2:$I$439,7,FALSE)</f>
        <v>-</v>
      </c>
    </row>
    <row r="240" spans="1:8" x14ac:dyDescent="0.35">
      <c r="A240" t="s">
        <v>758</v>
      </c>
      <c r="B240" t="s">
        <v>952</v>
      </c>
      <c r="D240">
        <v>2020</v>
      </c>
      <c r="E240" t="s">
        <v>1264</v>
      </c>
      <c r="F240" t="s">
        <v>1018</v>
      </c>
      <c r="G240">
        <v>239</v>
      </c>
      <c r="H240" t="str">
        <f>VLOOKUP(A240,'[1]All Publications'!$C$2:$I$439,7,FALSE)</f>
        <v>S3</v>
      </c>
    </row>
    <row r="241" spans="1:8" x14ac:dyDescent="0.35">
      <c r="A241" t="s">
        <v>608</v>
      </c>
      <c r="B241" t="s">
        <v>824</v>
      </c>
      <c r="D241">
        <v>2023</v>
      </c>
      <c r="E241" t="s">
        <v>1265</v>
      </c>
      <c r="F241" t="s">
        <v>1021</v>
      </c>
      <c r="G241">
        <v>240</v>
      </c>
      <c r="H241" t="str">
        <f>VLOOKUP(A241,'[1]All Publications'!$C$2:$I$439,7,FALSE)</f>
        <v>-</v>
      </c>
    </row>
    <row r="242" spans="1:8" x14ac:dyDescent="0.35">
      <c r="A242" t="s">
        <v>707</v>
      </c>
      <c r="B242" t="s">
        <v>984</v>
      </c>
      <c r="D242">
        <v>2023</v>
      </c>
      <c r="E242" t="s">
        <v>1266</v>
      </c>
      <c r="F242" t="s">
        <v>1020</v>
      </c>
      <c r="G242">
        <v>241</v>
      </c>
      <c r="H242" t="str">
        <f>VLOOKUP(A242,'[1]All Publications'!$C$2:$I$439,7,FALSE)</f>
        <v>S3-S5</v>
      </c>
    </row>
    <row r="243" spans="1:8" x14ac:dyDescent="0.35">
      <c r="A243" t="s">
        <v>780</v>
      </c>
      <c r="B243" t="s">
        <v>976</v>
      </c>
      <c r="D243">
        <v>2023</v>
      </c>
      <c r="E243" t="s">
        <v>1267</v>
      </c>
      <c r="F243" t="s">
        <v>1018</v>
      </c>
      <c r="G243">
        <v>242</v>
      </c>
      <c r="H243" t="str">
        <f>VLOOKUP(A243,'[1]All Publications'!$C$2:$I$439,7,FALSE)</f>
        <v>-</v>
      </c>
    </row>
    <row r="244" spans="1:8" x14ac:dyDescent="0.35">
      <c r="A244" t="s">
        <v>787</v>
      </c>
      <c r="B244" t="s">
        <v>985</v>
      </c>
      <c r="D244">
        <v>2025</v>
      </c>
      <c r="E244" t="s">
        <v>1268</v>
      </c>
      <c r="F244" t="s">
        <v>1020</v>
      </c>
      <c r="G244">
        <v>243</v>
      </c>
      <c r="H244" t="str">
        <f>VLOOKUP(A244,'[1]All Publications'!$C$2:$I$439,7,FALSE)</f>
        <v>S3-S5</v>
      </c>
    </row>
    <row r="245" spans="1:8" x14ac:dyDescent="0.35">
      <c r="A245" t="s">
        <v>710</v>
      </c>
      <c r="B245" t="s">
        <v>903</v>
      </c>
      <c r="D245">
        <v>2024</v>
      </c>
      <c r="E245" t="s">
        <v>1269</v>
      </c>
      <c r="F245" t="s">
        <v>1020</v>
      </c>
      <c r="G245">
        <v>244</v>
      </c>
      <c r="H245" t="str">
        <f>VLOOKUP(A245,'[1]All Publications'!$C$2:$I$439,7,FALSE)</f>
        <v>S3-S5</v>
      </c>
    </row>
    <row r="246" spans="1:8" x14ac:dyDescent="0.35">
      <c r="A246" t="s">
        <v>732</v>
      </c>
      <c r="B246" t="s">
        <v>924</v>
      </c>
      <c r="D246">
        <v>2023</v>
      </c>
      <c r="E246" t="s">
        <v>1270</v>
      </c>
      <c r="F246" t="s">
        <v>1021</v>
      </c>
      <c r="G246">
        <v>245</v>
      </c>
      <c r="H246" t="str">
        <f>VLOOKUP(A246,'[1]All Publications'!$C$2:$I$439,7,FALSE)</f>
        <v>-</v>
      </c>
    </row>
    <row r="247" spans="1:8" x14ac:dyDescent="0.35">
      <c r="A247" t="s">
        <v>733</v>
      </c>
      <c r="B247" t="s">
        <v>925</v>
      </c>
      <c r="D247">
        <v>2021</v>
      </c>
      <c r="E247" t="s">
        <v>1271</v>
      </c>
      <c r="F247" t="s">
        <v>1023</v>
      </c>
      <c r="G247">
        <v>246</v>
      </c>
      <c r="H247" t="str">
        <f>VLOOKUP(A247,'[1]All Publications'!$C$2:$I$439,7,FALSE)</f>
        <v>-</v>
      </c>
    </row>
    <row r="248" spans="1:8" x14ac:dyDescent="0.35">
      <c r="A248" t="s">
        <v>788</v>
      </c>
      <c r="B248" t="s">
        <v>986</v>
      </c>
      <c r="D248">
        <v>2020</v>
      </c>
      <c r="E248" t="s">
        <v>1272</v>
      </c>
      <c r="F248" t="s">
        <v>1023</v>
      </c>
      <c r="G248">
        <v>247</v>
      </c>
      <c r="H248" t="str">
        <f>VLOOKUP(A248,'[1]All Publications'!$C$2:$I$439,7,FALSE)</f>
        <v>-</v>
      </c>
    </row>
    <row r="249" spans="1:8" x14ac:dyDescent="0.35">
      <c r="A249" t="s">
        <v>486</v>
      </c>
      <c r="B249" t="s">
        <v>927</v>
      </c>
      <c r="D249">
        <v>2020</v>
      </c>
      <c r="E249" t="s">
        <v>1273</v>
      </c>
      <c r="F249" t="s">
        <v>1018</v>
      </c>
      <c r="G249">
        <v>248</v>
      </c>
      <c r="H249" t="str">
        <f>VLOOKUP(A249,'[1]All Publications'!$C$2:$I$439,7,FALSE)</f>
        <v>S2</v>
      </c>
    </row>
    <row r="250" spans="1:8" x14ac:dyDescent="0.35">
      <c r="A250" t="s">
        <v>735</v>
      </c>
      <c r="B250" t="s">
        <v>928</v>
      </c>
      <c r="D250">
        <v>2020</v>
      </c>
      <c r="E250" t="s">
        <v>1274</v>
      </c>
      <c r="F250" t="s">
        <v>1023</v>
      </c>
      <c r="G250">
        <v>249</v>
      </c>
      <c r="H250" t="str">
        <f>VLOOKUP(A250,'[1]All Publications'!$C$2:$I$439,7,FALSE)</f>
        <v>-</v>
      </c>
    </row>
    <row r="251" spans="1:8" x14ac:dyDescent="0.35">
      <c r="A251" t="s">
        <v>714</v>
      </c>
      <c r="B251" t="s">
        <v>907</v>
      </c>
      <c r="D251">
        <v>2024</v>
      </c>
      <c r="E251" t="s">
        <v>1275</v>
      </c>
      <c r="F251" t="s">
        <v>1018</v>
      </c>
      <c r="G251">
        <v>250</v>
      </c>
      <c r="H251" t="str">
        <f>VLOOKUP(A251,'[1]All Publications'!$C$2:$I$439,7,FALSE)</f>
        <v>-</v>
      </c>
    </row>
    <row r="252" spans="1:8" x14ac:dyDescent="0.35">
      <c r="A252" t="s">
        <v>784</v>
      </c>
      <c r="B252" t="s">
        <v>987</v>
      </c>
      <c r="D252">
        <v>2023</v>
      </c>
      <c r="E252" t="s">
        <v>1276</v>
      </c>
      <c r="F252" t="s">
        <v>1018</v>
      </c>
      <c r="G252">
        <v>251</v>
      </c>
      <c r="H252" t="str">
        <f>VLOOKUP(A252,'[1]All Publications'!$C$2:$I$439,7,FALSE)</f>
        <v>S2</v>
      </c>
    </row>
    <row r="253" spans="1:8" x14ac:dyDescent="0.35">
      <c r="A253" t="s">
        <v>768</v>
      </c>
      <c r="B253" t="s">
        <v>988</v>
      </c>
      <c r="D253">
        <v>2021</v>
      </c>
      <c r="E253" t="s">
        <v>1277</v>
      </c>
      <c r="F253" t="s">
        <v>1018</v>
      </c>
      <c r="G253">
        <v>252</v>
      </c>
      <c r="H253" t="str">
        <f>VLOOKUP(A253,'[1]All Publications'!$C$2:$I$439,7,FALSE)</f>
        <v>S2</v>
      </c>
    </row>
    <row r="254" spans="1:8" x14ac:dyDescent="0.35">
      <c r="A254" t="s">
        <v>736</v>
      </c>
      <c r="B254" t="s">
        <v>930</v>
      </c>
      <c r="D254">
        <v>2020</v>
      </c>
      <c r="E254" t="s">
        <v>1278</v>
      </c>
      <c r="F254" t="s">
        <v>1023</v>
      </c>
      <c r="G254">
        <v>253</v>
      </c>
      <c r="H254" t="str">
        <f>VLOOKUP(A254,'[1]All Publications'!$C$2:$I$439,7,FALSE)</f>
        <v>-</v>
      </c>
    </row>
    <row r="255" spans="1:8" x14ac:dyDescent="0.35">
      <c r="A255" t="s">
        <v>737</v>
      </c>
      <c r="B255" t="s">
        <v>931</v>
      </c>
      <c r="D255">
        <v>2026</v>
      </c>
      <c r="E255" t="s">
        <v>1279</v>
      </c>
      <c r="F255" t="s">
        <v>1020</v>
      </c>
      <c r="G255">
        <v>254</v>
      </c>
      <c r="H255" t="str">
        <f>VLOOKUP(A255,'[1]All Publications'!$C$2:$I$439,7,FALSE)</f>
        <v>S3-S5</v>
      </c>
    </row>
    <row r="256" spans="1:8" x14ac:dyDescent="0.35">
      <c r="A256" t="s">
        <v>789</v>
      </c>
      <c r="B256" t="s">
        <v>989</v>
      </c>
      <c r="D256">
        <v>2025</v>
      </c>
      <c r="E256" t="s">
        <v>1280</v>
      </c>
      <c r="F256" t="s">
        <v>1018</v>
      </c>
      <c r="G256">
        <v>255</v>
      </c>
      <c r="H256" t="str">
        <f>VLOOKUP(A256,'[1]All Publications'!$C$2:$I$439,7,FALSE)</f>
        <v>S4</v>
      </c>
    </row>
    <row r="257" spans="1:8" x14ac:dyDescent="0.35">
      <c r="A257" t="s">
        <v>790</v>
      </c>
      <c r="B257" t="s">
        <v>990</v>
      </c>
      <c r="D257">
        <v>2025</v>
      </c>
      <c r="E257" t="s">
        <v>1281</v>
      </c>
      <c r="F257" t="s">
        <v>1023</v>
      </c>
      <c r="G257">
        <v>256</v>
      </c>
      <c r="H257" t="str">
        <f>VLOOKUP(A257,'[1]All Publications'!$C$2:$I$439,7,FALSE)</f>
        <v>-</v>
      </c>
    </row>
    <row r="258" spans="1:8" x14ac:dyDescent="0.35">
      <c r="A258" t="s">
        <v>740</v>
      </c>
      <c r="B258" t="s">
        <v>934</v>
      </c>
      <c r="D258">
        <v>2025</v>
      </c>
      <c r="E258" t="s">
        <v>1282</v>
      </c>
      <c r="F258" t="s">
        <v>1023</v>
      </c>
      <c r="G258">
        <v>257</v>
      </c>
      <c r="H258" t="str">
        <f>VLOOKUP(A258,'[1]All Publications'!$C$2:$I$439,7,FALSE)</f>
        <v>-</v>
      </c>
    </row>
    <row r="259" spans="1:8" x14ac:dyDescent="0.35">
      <c r="A259" t="s">
        <v>791</v>
      </c>
      <c r="B259" t="s">
        <v>991</v>
      </c>
      <c r="D259">
        <v>2024</v>
      </c>
      <c r="E259" t="s">
        <v>1283</v>
      </c>
      <c r="F259" t="s">
        <v>1018</v>
      </c>
      <c r="G259">
        <v>258</v>
      </c>
      <c r="H259" t="str">
        <f>VLOOKUP(A259,'[1]All Publications'!$C$2:$I$439,7,FALSE)</f>
        <v>-</v>
      </c>
    </row>
    <row r="260" spans="1:8" x14ac:dyDescent="0.35">
      <c r="A260" t="s">
        <v>792</v>
      </c>
      <c r="B260" t="s">
        <v>992</v>
      </c>
      <c r="D260">
        <v>2024</v>
      </c>
      <c r="E260" t="s">
        <v>1284</v>
      </c>
      <c r="F260" t="s">
        <v>1018</v>
      </c>
      <c r="G260">
        <v>259</v>
      </c>
      <c r="H260" t="str">
        <f>VLOOKUP(A260,'[1]All Publications'!$C$2:$I$439,7,FALSE)</f>
        <v>-</v>
      </c>
    </row>
    <row r="261" spans="1:8" x14ac:dyDescent="0.35">
      <c r="A261" t="s">
        <v>264</v>
      </c>
      <c r="B261" t="s">
        <v>916</v>
      </c>
      <c r="D261">
        <v>2024</v>
      </c>
      <c r="E261" t="s">
        <v>1285</v>
      </c>
      <c r="F261" t="s">
        <v>1018</v>
      </c>
      <c r="G261">
        <v>260</v>
      </c>
      <c r="H261" t="str">
        <f>VLOOKUP(A261,'[1]All Publications'!$C$2:$I$439,7,FALSE)</f>
        <v>-</v>
      </c>
    </row>
    <row r="262" spans="1:8" x14ac:dyDescent="0.35">
      <c r="A262" t="s">
        <v>793</v>
      </c>
      <c r="B262" t="s">
        <v>983</v>
      </c>
      <c r="D262">
        <v>2024</v>
      </c>
      <c r="E262" t="s">
        <v>1286</v>
      </c>
      <c r="F262" t="s">
        <v>1018</v>
      </c>
      <c r="G262">
        <v>261</v>
      </c>
      <c r="H262" t="str">
        <f>VLOOKUP(A262,'[1]All Publications'!$C$2:$I$439,7,FALSE)</f>
        <v>-</v>
      </c>
    </row>
    <row r="263" spans="1:8" x14ac:dyDescent="0.35">
      <c r="A263" t="s">
        <v>647</v>
      </c>
      <c r="B263" t="s">
        <v>849</v>
      </c>
      <c r="D263">
        <v>2024</v>
      </c>
      <c r="E263" t="s">
        <v>1287</v>
      </c>
      <c r="F263" t="s">
        <v>1018</v>
      </c>
      <c r="G263">
        <v>262</v>
      </c>
      <c r="H263" t="str">
        <f>VLOOKUP(A263,'[1]All Publications'!$C$2:$I$439,7,FALSE)</f>
        <v>S4</v>
      </c>
    </row>
    <row r="264" spans="1:8" x14ac:dyDescent="0.35">
      <c r="A264" t="s">
        <v>794</v>
      </c>
      <c r="B264" t="s">
        <v>993</v>
      </c>
      <c r="D264">
        <v>2024</v>
      </c>
      <c r="E264" t="s">
        <v>1288</v>
      </c>
      <c r="F264" t="s">
        <v>1023</v>
      </c>
      <c r="G264">
        <v>263</v>
      </c>
      <c r="H264" t="str">
        <f>VLOOKUP(A264,'[1]All Publications'!$C$2:$I$439,7,FALSE)</f>
        <v>-</v>
      </c>
    </row>
    <row r="265" spans="1:8" x14ac:dyDescent="0.35">
      <c r="A265" t="s">
        <v>795</v>
      </c>
      <c r="B265" t="s">
        <v>994</v>
      </c>
      <c r="D265">
        <v>2023</v>
      </c>
      <c r="E265" t="s">
        <v>1289</v>
      </c>
      <c r="F265" t="s">
        <v>1018</v>
      </c>
      <c r="G265">
        <v>264</v>
      </c>
      <c r="H265" t="str">
        <f>VLOOKUP(A265,'[1]All Publications'!$C$2:$I$439,7,FALSE)</f>
        <v>-</v>
      </c>
    </row>
    <row r="266" spans="1:8" x14ac:dyDescent="0.35">
      <c r="A266" t="s">
        <v>726</v>
      </c>
      <c r="B266" t="s">
        <v>919</v>
      </c>
      <c r="D266">
        <v>2023</v>
      </c>
      <c r="E266" t="s">
        <v>1290</v>
      </c>
      <c r="F266" t="s">
        <v>1018</v>
      </c>
      <c r="G266">
        <v>265</v>
      </c>
      <c r="H266" t="str">
        <f>VLOOKUP(A266,'[1]All Publications'!$C$2:$I$439,7,FALSE)</f>
        <v>-</v>
      </c>
    </row>
    <row r="267" spans="1:8" x14ac:dyDescent="0.35">
      <c r="A267" t="s">
        <v>728</v>
      </c>
      <c r="B267" t="s">
        <v>920</v>
      </c>
      <c r="D267">
        <v>2023</v>
      </c>
      <c r="E267" t="s">
        <v>1291</v>
      </c>
      <c r="F267" t="s">
        <v>1023</v>
      </c>
      <c r="G267">
        <v>266</v>
      </c>
      <c r="H267" t="str">
        <f>VLOOKUP(A267,'[1]All Publications'!$C$2:$I$439,7,FALSE)</f>
        <v>-</v>
      </c>
    </row>
    <row r="268" spans="1:8" x14ac:dyDescent="0.35">
      <c r="A268" t="s">
        <v>796</v>
      </c>
      <c r="B268" t="s">
        <v>995</v>
      </c>
      <c r="D268">
        <v>2023</v>
      </c>
      <c r="E268" t="s">
        <v>1292</v>
      </c>
      <c r="F268" t="s">
        <v>1018</v>
      </c>
      <c r="G268">
        <v>267</v>
      </c>
      <c r="H268" t="str">
        <f>VLOOKUP(A268,'[1]All Publications'!$C$2:$I$439,7,FALSE)</f>
        <v>S4</v>
      </c>
    </row>
    <row r="269" spans="1:8" x14ac:dyDescent="0.35">
      <c r="A269" t="s">
        <v>797</v>
      </c>
      <c r="B269" t="s">
        <v>983</v>
      </c>
      <c r="D269">
        <v>2021</v>
      </c>
      <c r="E269" t="s">
        <v>1293</v>
      </c>
      <c r="F269" t="s">
        <v>1018</v>
      </c>
      <c r="G269">
        <v>268</v>
      </c>
      <c r="H269" t="str">
        <f>VLOOKUP(A269,'[1]All Publications'!$C$2:$I$439,7,FALSE)</f>
        <v>-</v>
      </c>
    </row>
    <row r="270" spans="1:8" x14ac:dyDescent="0.35">
      <c r="A270" t="s">
        <v>798</v>
      </c>
      <c r="B270" t="s">
        <v>983</v>
      </c>
      <c r="D270">
        <v>2021</v>
      </c>
      <c r="E270" t="s">
        <v>1294</v>
      </c>
      <c r="F270" t="s">
        <v>1018</v>
      </c>
      <c r="G270">
        <v>269</v>
      </c>
      <c r="H270" t="str">
        <f>VLOOKUP(A270,'[1]All Publications'!$C$2:$I$439,7,FALSE)</f>
        <v>-</v>
      </c>
    </row>
    <row r="271" spans="1:8" x14ac:dyDescent="0.35">
      <c r="A271" t="s">
        <v>751</v>
      </c>
      <c r="B271" t="s">
        <v>945</v>
      </c>
      <c r="D271">
        <v>2020</v>
      </c>
      <c r="E271" t="s">
        <v>1295</v>
      </c>
      <c r="F271" t="s">
        <v>1023</v>
      </c>
      <c r="G271">
        <v>270</v>
      </c>
      <c r="H271" t="str">
        <f>VLOOKUP(A271,'[1]All Publications'!$C$2:$I$439,7,FALSE)</f>
        <v>-</v>
      </c>
    </row>
    <row r="272" spans="1:8" x14ac:dyDescent="0.35">
      <c r="A272" t="s">
        <v>752</v>
      </c>
      <c r="B272" t="s">
        <v>946</v>
      </c>
      <c r="D272">
        <v>2020</v>
      </c>
      <c r="E272" t="s">
        <v>1296</v>
      </c>
      <c r="F272" t="s">
        <v>1023</v>
      </c>
      <c r="G272">
        <v>271</v>
      </c>
      <c r="H272" t="str">
        <f>VLOOKUP(A272,'[1]All Publications'!$C$2:$I$439,7,FALSE)</f>
        <v>-</v>
      </c>
    </row>
    <row r="273" spans="1:8" x14ac:dyDescent="0.35">
      <c r="A273" t="s">
        <v>672</v>
      </c>
      <c r="B273" t="s">
        <v>862</v>
      </c>
      <c r="D273">
        <v>2023</v>
      </c>
      <c r="E273" t="s">
        <v>1297</v>
      </c>
      <c r="F273" t="s">
        <v>1018</v>
      </c>
      <c r="G273">
        <v>272</v>
      </c>
      <c r="H273" t="str">
        <f>VLOOKUP(A273,'[1]All Publications'!$C$2:$I$439,7,FALSE)</f>
        <v>S1</v>
      </c>
    </row>
    <row r="274" spans="1:8" x14ac:dyDescent="0.35">
      <c r="A274" t="s">
        <v>799</v>
      </c>
      <c r="B274" t="s">
        <v>996</v>
      </c>
      <c r="D274">
        <v>2022</v>
      </c>
      <c r="E274" t="s">
        <v>1298</v>
      </c>
      <c r="F274" t="s">
        <v>1018</v>
      </c>
      <c r="G274">
        <v>273</v>
      </c>
      <c r="H274" t="str">
        <f>VLOOKUP(A274,'[1]All Publications'!$C$2:$I$439,7,FALSE)</f>
        <v>-</v>
      </c>
    </row>
    <row r="275" spans="1:8" x14ac:dyDescent="0.35">
      <c r="A275" t="s">
        <v>800</v>
      </c>
      <c r="B275" t="s">
        <v>997</v>
      </c>
      <c r="D275">
        <v>2024</v>
      </c>
      <c r="E275" t="s">
        <v>1299</v>
      </c>
      <c r="F275" t="s">
        <v>1018</v>
      </c>
      <c r="G275">
        <v>274</v>
      </c>
      <c r="H275" t="str">
        <f>VLOOKUP(A275,'[1]All Publications'!$C$2:$I$439,7,FALSE)</f>
        <v>-</v>
      </c>
    </row>
    <row r="276" spans="1:8" x14ac:dyDescent="0.35">
      <c r="A276" t="s">
        <v>801</v>
      </c>
      <c r="B276" t="s">
        <v>998</v>
      </c>
      <c r="D276">
        <v>2023</v>
      </c>
      <c r="E276" t="s">
        <v>1300</v>
      </c>
      <c r="F276" t="s">
        <v>1018</v>
      </c>
      <c r="G276">
        <v>275</v>
      </c>
      <c r="H276" t="str">
        <f>VLOOKUP(A276,'[1]All Publications'!$C$2:$I$439,7,FALSE)</f>
        <v>-</v>
      </c>
    </row>
    <row r="277" spans="1:8" x14ac:dyDescent="0.35">
      <c r="A277" t="s">
        <v>495</v>
      </c>
      <c r="B277" t="s">
        <v>999</v>
      </c>
      <c r="D277">
        <v>2023</v>
      </c>
      <c r="E277" t="s">
        <v>1301</v>
      </c>
      <c r="F277" t="s">
        <v>1019</v>
      </c>
      <c r="G277">
        <v>276</v>
      </c>
      <c r="H277" t="str">
        <f>VLOOKUP(A277,'[1]All Publications'!$C$2:$I$439,7,FALSE)</f>
        <v>-</v>
      </c>
    </row>
    <row r="278" spans="1:8" x14ac:dyDescent="0.35">
      <c r="A278" t="s">
        <v>678</v>
      </c>
      <c r="B278" t="s">
        <v>869</v>
      </c>
      <c r="D278">
        <v>2022</v>
      </c>
      <c r="E278" t="s">
        <v>1302</v>
      </c>
      <c r="F278" t="s">
        <v>1023</v>
      </c>
      <c r="G278">
        <v>277</v>
      </c>
      <c r="H278" t="str">
        <f>VLOOKUP(A278,'[1]All Publications'!$C$2:$I$439,7,FALSE)</f>
        <v>S3-S5</v>
      </c>
    </row>
    <row r="279" spans="1:8" x14ac:dyDescent="0.35">
      <c r="A279" t="s">
        <v>802</v>
      </c>
      <c r="B279" t="s">
        <v>1000</v>
      </c>
      <c r="D279">
        <v>2022</v>
      </c>
      <c r="E279" t="s">
        <v>1303</v>
      </c>
      <c r="F279" t="s">
        <v>1020</v>
      </c>
      <c r="G279">
        <v>278</v>
      </c>
      <c r="H279" t="str">
        <f>VLOOKUP(A279,'[1]All Publications'!$C$2:$I$439,7,FALSE)</f>
        <v>-</v>
      </c>
    </row>
    <row r="280" spans="1:8" x14ac:dyDescent="0.35">
      <c r="A280" t="s">
        <v>803</v>
      </c>
      <c r="B280" t="s">
        <v>1001</v>
      </c>
      <c r="D280">
        <v>2022</v>
      </c>
      <c r="E280" t="s">
        <v>1304</v>
      </c>
      <c r="F280" t="s">
        <v>1018</v>
      </c>
      <c r="G280">
        <v>279</v>
      </c>
      <c r="H280" t="str">
        <f>VLOOKUP(A280,'[1]All Publications'!$C$2:$I$439,7,FALSE)</f>
        <v>S3</v>
      </c>
    </row>
    <row r="281" spans="1:8" x14ac:dyDescent="0.35">
      <c r="A281" t="s">
        <v>804</v>
      </c>
      <c r="B281" t="s">
        <v>1002</v>
      </c>
      <c r="D281">
        <v>2022</v>
      </c>
      <c r="E281" t="s">
        <v>1305</v>
      </c>
      <c r="F281" t="s">
        <v>1018</v>
      </c>
      <c r="G281">
        <v>280</v>
      </c>
      <c r="H281" t="str">
        <f>VLOOKUP(A281,'[1]All Publications'!$C$2:$I$439,7,FALSE)</f>
        <v>S3</v>
      </c>
    </row>
    <row r="282" spans="1:8" x14ac:dyDescent="0.35">
      <c r="A282" t="s">
        <v>805</v>
      </c>
      <c r="B282" t="s">
        <v>1003</v>
      </c>
      <c r="D282">
        <v>2023</v>
      </c>
      <c r="E282" t="s">
        <v>1306</v>
      </c>
      <c r="F282" t="s">
        <v>1018</v>
      </c>
      <c r="G282">
        <v>281</v>
      </c>
      <c r="H282" t="str">
        <f>VLOOKUP(A282,'[1]All Publications'!$C$2:$I$439,7,FALSE)</f>
        <v>-</v>
      </c>
    </row>
    <row r="283" spans="1:8" x14ac:dyDescent="0.35">
      <c r="A283" t="s">
        <v>806</v>
      </c>
      <c r="B283" t="s">
        <v>1004</v>
      </c>
      <c r="D283">
        <v>2022</v>
      </c>
      <c r="E283" t="s">
        <v>1307</v>
      </c>
      <c r="F283" t="s">
        <v>1020</v>
      </c>
      <c r="G283">
        <v>282</v>
      </c>
      <c r="H283" t="str">
        <f>VLOOKUP(A283,'[1]All Publications'!$C$2:$I$439,7,FALSE)</f>
        <v>S3-S5</v>
      </c>
    </row>
    <row r="284" spans="1:8" x14ac:dyDescent="0.35">
      <c r="A284" t="s">
        <v>679</v>
      </c>
      <c r="B284" t="s">
        <v>871</v>
      </c>
      <c r="D284">
        <v>2021</v>
      </c>
      <c r="E284" t="s">
        <v>1308</v>
      </c>
      <c r="F284" t="s">
        <v>1018</v>
      </c>
      <c r="G284">
        <v>283</v>
      </c>
      <c r="H284" t="str">
        <f>VLOOKUP(A284,'[1]All Publications'!$C$2:$I$439,7,FALSE)</f>
        <v>S3</v>
      </c>
    </row>
    <row r="285" spans="1:8" x14ac:dyDescent="0.35">
      <c r="A285" t="s">
        <v>498</v>
      </c>
      <c r="B285" t="s">
        <v>1005</v>
      </c>
      <c r="D285">
        <v>2021</v>
      </c>
      <c r="E285" t="s">
        <v>1309</v>
      </c>
      <c r="F285" t="s">
        <v>1021</v>
      </c>
      <c r="G285">
        <v>284</v>
      </c>
      <c r="H285" t="str">
        <f>VLOOKUP(A285,'[1]All Publications'!$C$2:$I$439,7,FALSE)</f>
        <v>-</v>
      </c>
    </row>
    <row r="286" spans="1:8" x14ac:dyDescent="0.35">
      <c r="A286" t="s">
        <v>807</v>
      </c>
      <c r="B286" t="s">
        <v>1006</v>
      </c>
      <c r="D286">
        <v>2024</v>
      </c>
      <c r="E286" t="s">
        <v>1310</v>
      </c>
      <c r="F286" t="s">
        <v>1018</v>
      </c>
      <c r="G286">
        <v>285</v>
      </c>
      <c r="H286" t="str">
        <f>VLOOKUP(A286,'[1]All Publications'!$C$2:$I$439,7,FALSE)</f>
        <v>S3</v>
      </c>
    </row>
    <row r="287" spans="1:8" x14ac:dyDescent="0.35">
      <c r="A287" t="s">
        <v>808</v>
      </c>
      <c r="B287" t="s">
        <v>1007</v>
      </c>
      <c r="D287">
        <v>2024</v>
      </c>
      <c r="E287" t="s">
        <v>1311</v>
      </c>
      <c r="F287" t="s">
        <v>1018</v>
      </c>
      <c r="G287">
        <v>286</v>
      </c>
      <c r="H287" t="str">
        <f>VLOOKUP(A287,'[1]All Publications'!$C$2:$I$439,7,FALSE)</f>
        <v>S2</v>
      </c>
    </row>
    <row r="288" spans="1:8" x14ac:dyDescent="0.35">
      <c r="A288" t="s">
        <v>680</v>
      </c>
      <c r="B288" t="s">
        <v>869</v>
      </c>
      <c r="D288">
        <v>2023</v>
      </c>
      <c r="E288" t="s">
        <v>1312</v>
      </c>
      <c r="F288" t="s">
        <v>1020</v>
      </c>
      <c r="G288">
        <v>287</v>
      </c>
      <c r="H288" t="str">
        <f>VLOOKUP(A288,'[1]All Publications'!$C$2:$I$439,7,FALSE)</f>
        <v>S3-S5</v>
      </c>
    </row>
    <row r="289" spans="1:8" x14ac:dyDescent="0.35">
      <c r="A289" t="s">
        <v>681</v>
      </c>
      <c r="B289" t="s">
        <v>862</v>
      </c>
      <c r="D289">
        <v>2022</v>
      </c>
      <c r="E289" t="s">
        <v>1313</v>
      </c>
      <c r="F289" t="s">
        <v>1018</v>
      </c>
      <c r="G289">
        <v>288</v>
      </c>
      <c r="H289" t="str">
        <f>VLOOKUP(A289,'[1]All Publications'!$C$2:$I$439,7,FALSE)</f>
        <v>S2</v>
      </c>
    </row>
    <row r="290" spans="1:8" x14ac:dyDescent="0.35">
      <c r="A290" t="s">
        <v>682</v>
      </c>
      <c r="B290" t="s">
        <v>876</v>
      </c>
      <c r="D290">
        <v>2026</v>
      </c>
      <c r="E290" t="s">
        <v>1314</v>
      </c>
      <c r="F290" t="s">
        <v>1018</v>
      </c>
      <c r="G290">
        <v>289</v>
      </c>
      <c r="H290" t="str">
        <f>VLOOKUP(A290,'[1]All Publications'!$C$2:$I$439,7,FALSE)</f>
        <v>S3</v>
      </c>
    </row>
    <row r="291" spans="1:8" x14ac:dyDescent="0.35">
      <c r="A291" t="s">
        <v>809</v>
      </c>
      <c r="B291" t="s">
        <v>1008</v>
      </c>
      <c r="D291">
        <v>2025</v>
      </c>
      <c r="E291" t="s">
        <v>1315</v>
      </c>
      <c r="F291" t="s">
        <v>1018</v>
      </c>
      <c r="G291">
        <v>290</v>
      </c>
      <c r="H291" t="str">
        <f>VLOOKUP(A291,'[1]All Publications'!$C$2:$I$439,7,FALSE)</f>
        <v>-</v>
      </c>
    </row>
    <row r="292" spans="1:8" x14ac:dyDescent="0.35">
      <c r="A292" t="s">
        <v>683</v>
      </c>
      <c r="B292" t="s">
        <v>877</v>
      </c>
      <c r="D292">
        <v>2023</v>
      </c>
      <c r="E292" t="s">
        <v>1316</v>
      </c>
      <c r="F292" t="s">
        <v>1018</v>
      </c>
      <c r="G292">
        <v>291</v>
      </c>
      <c r="H292" t="str">
        <f>VLOOKUP(A292,'[1]All Publications'!$C$2:$I$439,7,FALSE)</f>
        <v>S2</v>
      </c>
    </row>
    <row r="293" spans="1:8" x14ac:dyDescent="0.35">
      <c r="A293" t="s">
        <v>684</v>
      </c>
      <c r="B293" t="s">
        <v>878</v>
      </c>
      <c r="D293">
        <v>2023</v>
      </c>
      <c r="E293" t="s">
        <v>1317</v>
      </c>
      <c r="F293" t="s">
        <v>1018</v>
      </c>
      <c r="G293">
        <v>292</v>
      </c>
      <c r="H293" t="str">
        <f>VLOOKUP(A293,'[1]All Publications'!$C$2:$I$439,7,FALSE)</f>
        <v>S1</v>
      </c>
    </row>
    <row r="294" spans="1:8" x14ac:dyDescent="0.35">
      <c r="A294" t="s">
        <v>685</v>
      </c>
      <c r="B294" t="s">
        <v>879</v>
      </c>
      <c r="D294">
        <v>2022</v>
      </c>
      <c r="E294" t="s">
        <v>1318</v>
      </c>
      <c r="F294" t="s">
        <v>1018</v>
      </c>
      <c r="G294">
        <v>293</v>
      </c>
      <c r="H294" t="str">
        <f>VLOOKUP(A294,'[1]All Publications'!$C$2:$I$439,7,FALSE)</f>
        <v>-</v>
      </c>
    </row>
    <row r="295" spans="1:8" x14ac:dyDescent="0.35">
      <c r="A295" t="s">
        <v>497</v>
      </c>
      <c r="B295" t="s">
        <v>1005</v>
      </c>
      <c r="D295">
        <v>2022</v>
      </c>
      <c r="E295" t="s">
        <v>1319</v>
      </c>
      <c r="F295" t="s">
        <v>1018</v>
      </c>
      <c r="G295">
        <v>294</v>
      </c>
      <c r="H295" t="str">
        <f>VLOOKUP(A295,'[1]All Publications'!$C$2:$I$439,7,FALSE)</f>
        <v>-</v>
      </c>
    </row>
    <row r="296" spans="1:8" x14ac:dyDescent="0.35">
      <c r="A296" t="s">
        <v>499</v>
      </c>
      <c r="B296" t="s">
        <v>1009</v>
      </c>
      <c r="D296">
        <v>2021</v>
      </c>
      <c r="E296" t="s">
        <v>1320</v>
      </c>
      <c r="F296" t="s">
        <v>1019</v>
      </c>
      <c r="G296">
        <v>295</v>
      </c>
      <c r="H296" t="str">
        <f>VLOOKUP(A296,'[1]All Publications'!$C$2:$I$439,7,FALSE)</f>
        <v>-</v>
      </c>
    </row>
    <row r="297" spans="1:8" x14ac:dyDescent="0.35">
      <c r="A297" t="s">
        <v>810</v>
      </c>
      <c r="B297" t="s">
        <v>1010</v>
      </c>
      <c r="D297">
        <v>2026</v>
      </c>
      <c r="E297" t="s">
        <v>1321</v>
      </c>
      <c r="F297" t="s">
        <v>1018</v>
      </c>
      <c r="G297">
        <v>296</v>
      </c>
      <c r="H297" t="str">
        <f>VLOOKUP(A297,'[1]All Publications'!$C$2:$I$439,7,FALSE)</f>
        <v>S3</v>
      </c>
    </row>
    <row r="298" spans="1:8" x14ac:dyDescent="0.35">
      <c r="A298" t="s">
        <v>494</v>
      </c>
      <c r="B298" t="s">
        <v>881</v>
      </c>
      <c r="D298">
        <v>2025</v>
      </c>
      <c r="E298" t="s">
        <v>1322</v>
      </c>
      <c r="F298" t="s">
        <v>1018</v>
      </c>
      <c r="G298">
        <v>297</v>
      </c>
      <c r="H298" t="str">
        <f>VLOOKUP(A298,'[1]All Publications'!$C$2:$I$439,7,FALSE)</f>
        <v>-</v>
      </c>
    </row>
    <row r="299" spans="1:8" x14ac:dyDescent="0.35">
      <c r="A299" t="s">
        <v>811</v>
      </c>
      <c r="B299" t="s">
        <v>1011</v>
      </c>
      <c r="D299">
        <v>2025</v>
      </c>
      <c r="E299" t="s">
        <v>1323</v>
      </c>
      <c r="F299" t="s">
        <v>1018</v>
      </c>
      <c r="G299">
        <v>298</v>
      </c>
      <c r="H299" t="str">
        <f>VLOOKUP(A299,'[1]All Publications'!$C$2:$I$439,7,FALSE)</f>
        <v>-</v>
      </c>
    </row>
    <row r="300" spans="1:8" x14ac:dyDescent="0.35">
      <c r="A300" t="s">
        <v>812</v>
      </c>
      <c r="B300" t="s">
        <v>1012</v>
      </c>
      <c r="D300">
        <v>2022</v>
      </c>
      <c r="E300" t="s">
        <v>1324</v>
      </c>
      <c r="F300" t="s">
        <v>1023</v>
      </c>
      <c r="G300">
        <v>299</v>
      </c>
      <c r="H300" t="str">
        <f>VLOOKUP(A300,'[1]All Publications'!$C$2:$I$439,7,FALSE)</f>
        <v>-</v>
      </c>
    </row>
    <row r="301" spans="1:8" x14ac:dyDescent="0.35">
      <c r="A301" t="s">
        <v>813</v>
      </c>
      <c r="B301" t="s">
        <v>1013</v>
      </c>
      <c r="D301">
        <v>2022</v>
      </c>
      <c r="E301" t="s">
        <v>1325</v>
      </c>
      <c r="F301" t="s">
        <v>1018</v>
      </c>
      <c r="G301">
        <v>300</v>
      </c>
      <c r="H301" t="str">
        <f>VLOOKUP(A301,'[1]All Publications'!$C$2:$I$439,7,FALSE)</f>
        <v>-</v>
      </c>
    </row>
    <row r="302" spans="1:8" x14ac:dyDescent="0.35">
      <c r="A302" t="s">
        <v>814</v>
      </c>
      <c r="B302" t="s">
        <v>1014</v>
      </c>
      <c r="D302">
        <v>2020</v>
      </c>
      <c r="E302" t="s">
        <v>1326</v>
      </c>
      <c r="F302" t="s">
        <v>1020</v>
      </c>
      <c r="G302">
        <v>301</v>
      </c>
      <c r="H302" t="str">
        <f>VLOOKUP(A302,'[1]All Publications'!$C$2:$I$439,7,FALSE)</f>
        <v>-</v>
      </c>
    </row>
    <row r="303" spans="1:8" x14ac:dyDescent="0.35">
      <c r="A303" t="s">
        <v>770</v>
      </c>
      <c r="B303" t="s">
        <v>967</v>
      </c>
      <c r="D303">
        <v>2026</v>
      </c>
      <c r="E303" t="s">
        <v>1327</v>
      </c>
      <c r="F303" t="s">
        <v>1019</v>
      </c>
      <c r="G303">
        <v>302</v>
      </c>
      <c r="H303" t="str">
        <f>VLOOKUP(A303,'[1]All Publications'!$C$2:$I$439,7,FALSE)</f>
        <v>-</v>
      </c>
    </row>
    <row r="304" spans="1:8" x14ac:dyDescent="0.35">
      <c r="A304" t="s">
        <v>815</v>
      </c>
      <c r="B304" t="s">
        <v>1015</v>
      </c>
      <c r="D304">
        <v>2025</v>
      </c>
      <c r="E304" t="s">
        <v>1328</v>
      </c>
      <c r="F304" t="s">
        <v>1018</v>
      </c>
      <c r="G304">
        <v>303</v>
      </c>
      <c r="H304" t="str">
        <f>VLOOKUP(A304,'[1]All Publications'!$C$2:$I$439,7,FALSE)</f>
        <v>S2</v>
      </c>
    </row>
    <row r="305" spans="1:8" x14ac:dyDescent="0.35">
      <c r="A305" t="s">
        <v>695</v>
      </c>
      <c r="B305" t="s">
        <v>889</v>
      </c>
      <c r="D305">
        <v>2025</v>
      </c>
      <c r="E305" t="s">
        <v>1329</v>
      </c>
      <c r="F305" t="s">
        <v>1020</v>
      </c>
      <c r="G305">
        <v>304</v>
      </c>
      <c r="H305" t="str">
        <f>VLOOKUP(A305,'[1]All Publications'!$C$2:$I$439,7,FALSE)</f>
        <v>S3-S5</v>
      </c>
    </row>
    <row r="306" spans="1:8" x14ac:dyDescent="0.35">
      <c r="A306" t="s">
        <v>697</v>
      </c>
      <c r="B306" t="s">
        <v>891</v>
      </c>
      <c r="D306">
        <v>2025</v>
      </c>
      <c r="E306" t="s">
        <v>1330</v>
      </c>
      <c r="F306" t="s">
        <v>1018</v>
      </c>
      <c r="G306">
        <v>305</v>
      </c>
      <c r="H306" t="str">
        <f>VLOOKUP(A306,'[1]All Publications'!$C$2:$I$439,7,FALSE)</f>
        <v>-</v>
      </c>
    </row>
    <row r="307" spans="1:8" x14ac:dyDescent="0.35">
      <c r="A307" t="s">
        <v>816</v>
      </c>
      <c r="B307" t="s">
        <v>1016</v>
      </c>
      <c r="D307">
        <v>2025</v>
      </c>
      <c r="E307" t="s">
        <v>1331</v>
      </c>
      <c r="F307" t="s">
        <v>1020</v>
      </c>
      <c r="G307">
        <v>306</v>
      </c>
      <c r="H307" t="str">
        <f>VLOOKUP(A307,'[1]All Publications'!$C$2:$I$439,7,FALSE)</f>
        <v>S3-S5</v>
      </c>
    </row>
    <row r="308" spans="1:8" x14ac:dyDescent="0.35">
      <c r="A308" t="s">
        <v>741</v>
      </c>
      <c r="B308" t="s">
        <v>935</v>
      </c>
      <c r="D308">
        <v>2025</v>
      </c>
      <c r="E308" t="s">
        <v>1332</v>
      </c>
      <c r="F308" t="s">
        <v>1023</v>
      </c>
      <c r="G308">
        <v>307</v>
      </c>
      <c r="H308" t="str">
        <f>VLOOKUP(A308,'[1]All Publications'!$C$2:$I$439,7,FALSE)</f>
        <v>-</v>
      </c>
    </row>
    <row r="309" spans="1:8" x14ac:dyDescent="0.35">
      <c r="A309" t="s">
        <v>774</v>
      </c>
      <c r="B309" t="s">
        <v>971</v>
      </c>
      <c r="D309">
        <v>2024</v>
      </c>
      <c r="E309" t="s">
        <v>1333</v>
      </c>
      <c r="F309" t="s">
        <v>1018</v>
      </c>
      <c r="G309">
        <v>308</v>
      </c>
      <c r="H309" t="str">
        <f>VLOOKUP(A309,'[1]All Publications'!$C$2:$I$439,7,FALSE)</f>
        <v>-</v>
      </c>
    </row>
    <row r="310" spans="1:8" x14ac:dyDescent="0.35">
      <c r="A310" t="s">
        <v>700</v>
      </c>
      <c r="B310" t="s">
        <v>894</v>
      </c>
      <c r="D310">
        <v>2024</v>
      </c>
      <c r="E310" t="s">
        <v>1334</v>
      </c>
      <c r="F310" t="s">
        <v>1018</v>
      </c>
      <c r="G310">
        <v>309</v>
      </c>
      <c r="H310" t="str">
        <f>VLOOKUP(A310,'[1]All Publications'!$C$2:$I$439,7,FALSE)</f>
        <v>-</v>
      </c>
    </row>
    <row r="311" spans="1:8" x14ac:dyDescent="0.35">
      <c r="A311" t="s">
        <v>439</v>
      </c>
      <c r="B311" t="s">
        <v>891</v>
      </c>
      <c r="D311">
        <v>2023</v>
      </c>
      <c r="E311" t="s">
        <v>1335</v>
      </c>
      <c r="F311" t="s">
        <v>1023</v>
      </c>
      <c r="G311">
        <v>310</v>
      </c>
      <c r="H311" t="str">
        <f>VLOOKUP(A311,'[1]All Publications'!$C$2:$I$439,7,FALSE)</f>
        <v>S3-S5</v>
      </c>
    </row>
    <row r="312" spans="1:8" x14ac:dyDescent="0.35">
      <c r="A312" t="s">
        <v>817</v>
      </c>
      <c r="B312" t="s">
        <v>1017</v>
      </c>
      <c r="D312">
        <v>2022</v>
      </c>
      <c r="E312" t="s">
        <v>1336</v>
      </c>
      <c r="F312" t="s">
        <v>1023</v>
      </c>
      <c r="G312">
        <v>311</v>
      </c>
      <c r="H312" t="str">
        <f>VLOOKUP(A312,'[1]All Publications'!$C$2:$I$439,7,FALSE)</f>
        <v>-</v>
      </c>
    </row>
    <row r="313" spans="1:8" x14ac:dyDescent="0.35">
      <c r="A313" t="s">
        <v>496</v>
      </c>
      <c r="B313" t="s">
        <v>1005</v>
      </c>
      <c r="D313">
        <v>2022</v>
      </c>
      <c r="E313" t="s">
        <v>1337</v>
      </c>
      <c r="F313" t="s">
        <v>1018</v>
      </c>
      <c r="G313">
        <v>312</v>
      </c>
      <c r="H313" t="str">
        <f>VLOOKUP(A313,'[1]All Publications'!$C$2:$I$439,7,FALSE)</f>
        <v>-</v>
      </c>
    </row>
    <row r="314" spans="1:8" x14ac:dyDescent="0.35">
      <c r="A314" t="s">
        <v>702</v>
      </c>
      <c r="B314" t="s">
        <v>862</v>
      </c>
      <c r="D314">
        <v>2022</v>
      </c>
      <c r="E314" t="s">
        <v>1338</v>
      </c>
      <c r="F314" t="s">
        <v>1018</v>
      </c>
      <c r="G314">
        <v>313</v>
      </c>
      <c r="H314" t="str">
        <f>VLOOKUP(A314,'[1]All Publications'!$C$2:$I$439,7,FALSE)</f>
        <v>-</v>
      </c>
    </row>
  </sheetData>
  <autoFilter ref="A1:G314" xr:uid="{00000000-0001-0000-0A00-000000000000}"/>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
  <sheetViews>
    <sheetView workbookViewId="0"/>
  </sheetViews>
  <sheetFormatPr defaultRowHeight="14.5" x14ac:dyDescent="0.35"/>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26"/>
  <sheetViews>
    <sheetView workbookViewId="0"/>
  </sheetViews>
  <sheetFormatPr defaultRowHeight="14.5" x14ac:dyDescent="0.35"/>
  <sheetData>
    <row r="1" spans="1:9" x14ac:dyDescent="0.35">
      <c r="A1" t="s">
        <v>6</v>
      </c>
      <c r="B1" t="s">
        <v>7</v>
      </c>
      <c r="C1" t="s">
        <v>214</v>
      </c>
      <c r="D1" t="s">
        <v>51</v>
      </c>
      <c r="E1" t="s">
        <v>513</v>
      </c>
      <c r="F1" t="s">
        <v>514</v>
      </c>
      <c r="G1" t="s">
        <v>515</v>
      </c>
      <c r="H1" t="s">
        <v>516</v>
      </c>
      <c r="I1" t="s">
        <v>517</v>
      </c>
    </row>
    <row r="2" spans="1:9" x14ac:dyDescent="0.35">
      <c r="A2">
        <v>1</v>
      </c>
      <c r="B2" t="s">
        <v>481</v>
      </c>
      <c r="C2" t="s">
        <v>482</v>
      </c>
      <c r="D2">
        <v>2024</v>
      </c>
    </row>
    <row r="3" spans="1:9" x14ac:dyDescent="0.35">
      <c r="A3">
        <v>2</v>
      </c>
      <c r="B3" t="s">
        <v>483</v>
      </c>
      <c r="C3" t="s">
        <v>484</v>
      </c>
      <c r="D3">
        <v>2023</v>
      </c>
    </row>
    <row r="4" spans="1:9" x14ac:dyDescent="0.35">
      <c r="A4">
        <v>3</v>
      </c>
      <c r="B4" t="s">
        <v>485</v>
      </c>
      <c r="C4" t="s">
        <v>484</v>
      </c>
      <c r="D4">
        <v>2023</v>
      </c>
    </row>
    <row r="5" spans="1:9" x14ac:dyDescent="0.35">
      <c r="A5">
        <v>4</v>
      </c>
      <c r="B5" t="s">
        <v>486</v>
      </c>
      <c r="C5" t="s">
        <v>482</v>
      </c>
      <c r="D5">
        <v>2020</v>
      </c>
    </row>
    <row r="6" spans="1:9" x14ac:dyDescent="0.35">
      <c r="A6">
        <v>5</v>
      </c>
      <c r="B6" t="s">
        <v>489</v>
      </c>
      <c r="C6" t="s">
        <v>482</v>
      </c>
      <c r="D6">
        <v>2023</v>
      </c>
    </row>
    <row r="7" spans="1:9" x14ac:dyDescent="0.35">
      <c r="A7">
        <v>6</v>
      </c>
      <c r="B7" t="s">
        <v>490</v>
      </c>
      <c r="C7" t="s">
        <v>482</v>
      </c>
      <c r="D7">
        <v>2023</v>
      </c>
    </row>
    <row r="8" spans="1:9" x14ac:dyDescent="0.35">
      <c r="A8">
        <v>7</v>
      </c>
      <c r="B8" t="s">
        <v>491</v>
      </c>
      <c r="C8" t="s">
        <v>482</v>
      </c>
      <c r="D8">
        <v>2023</v>
      </c>
    </row>
    <row r="9" spans="1:9" x14ac:dyDescent="0.35">
      <c r="A9">
        <v>8</v>
      </c>
      <c r="B9" t="s">
        <v>493</v>
      </c>
      <c r="C9" t="s">
        <v>482</v>
      </c>
      <c r="D9">
        <v>2022</v>
      </c>
    </row>
    <row r="10" spans="1:9" x14ac:dyDescent="0.35">
      <c r="A10">
        <v>9</v>
      </c>
      <c r="B10" t="s">
        <v>494</v>
      </c>
      <c r="C10" t="s">
        <v>482</v>
      </c>
      <c r="D10">
        <v>2025</v>
      </c>
    </row>
    <row r="11" spans="1:9" x14ac:dyDescent="0.35">
      <c r="A11">
        <v>10</v>
      </c>
      <c r="B11" t="s">
        <v>495</v>
      </c>
      <c r="C11" t="s">
        <v>482</v>
      </c>
      <c r="D11">
        <v>2023</v>
      </c>
      <c r="E11" t="s">
        <v>518</v>
      </c>
      <c r="F11" t="s">
        <v>519</v>
      </c>
      <c r="H11" t="s">
        <v>520</v>
      </c>
      <c r="I11" t="s">
        <v>521</v>
      </c>
    </row>
    <row r="12" spans="1:9" x14ac:dyDescent="0.35">
      <c r="A12">
        <v>11</v>
      </c>
      <c r="B12" t="s">
        <v>496</v>
      </c>
      <c r="C12" t="s">
        <v>482</v>
      </c>
      <c r="D12">
        <v>2022</v>
      </c>
    </row>
    <row r="13" spans="1:9" x14ac:dyDescent="0.35">
      <c r="A13">
        <v>12</v>
      </c>
      <c r="B13" t="s">
        <v>497</v>
      </c>
      <c r="C13" t="s">
        <v>482</v>
      </c>
      <c r="D13">
        <v>2022</v>
      </c>
    </row>
    <row r="14" spans="1:9" x14ac:dyDescent="0.35">
      <c r="A14">
        <v>13</v>
      </c>
      <c r="B14" t="s">
        <v>499</v>
      </c>
      <c r="C14" t="s">
        <v>482</v>
      </c>
      <c r="D14">
        <v>2021</v>
      </c>
    </row>
    <row r="15" spans="1:9" x14ac:dyDescent="0.35">
      <c r="A15">
        <v>14</v>
      </c>
      <c r="B15" t="s">
        <v>500</v>
      </c>
      <c r="C15" t="s">
        <v>484</v>
      </c>
      <c r="D15">
        <v>2012</v>
      </c>
    </row>
    <row r="16" spans="1:9" x14ac:dyDescent="0.35">
      <c r="A16">
        <v>15</v>
      </c>
      <c r="B16" t="s">
        <v>501</v>
      </c>
      <c r="C16" t="s">
        <v>482</v>
      </c>
      <c r="D16">
        <v>2021</v>
      </c>
    </row>
    <row r="17" spans="1:4" x14ac:dyDescent="0.35">
      <c r="A17">
        <v>16</v>
      </c>
      <c r="B17" t="s">
        <v>503</v>
      </c>
      <c r="C17" t="s">
        <v>484</v>
      </c>
      <c r="D17">
        <v>2023</v>
      </c>
    </row>
    <row r="18" spans="1:4" x14ac:dyDescent="0.35">
      <c r="A18">
        <v>17</v>
      </c>
      <c r="B18" t="s">
        <v>505</v>
      </c>
      <c r="C18" t="s">
        <v>482</v>
      </c>
      <c r="D18">
        <v>2022</v>
      </c>
    </row>
    <row r="19" spans="1:4" x14ac:dyDescent="0.35">
      <c r="A19">
        <v>18</v>
      </c>
      <c r="B19" t="s">
        <v>501</v>
      </c>
      <c r="C19" t="s">
        <v>482</v>
      </c>
      <c r="D19">
        <v>2021</v>
      </c>
    </row>
    <row r="20" spans="1:4" x14ac:dyDescent="0.35">
      <c r="A20">
        <v>19</v>
      </c>
      <c r="B20" t="s">
        <v>506</v>
      </c>
      <c r="C20" t="s">
        <v>482</v>
      </c>
      <c r="D20">
        <v>2021</v>
      </c>
    </row>
    <row r="21" spans="1:4" x14ac:dyDescent="0.35">
      <c r="A21">
        <v>20</v>
      </c>
      <c r="B21" t="s">
        <v>507</v>
      </c>
      <c r="C21" t="s">
        <v>482</v>
      </c>
      <c r="D21">
        <v>2024</v>
      </c>
    </row>
    <row r="22" spans="1:4" x14ac:dyDescent="0.35">
      <c r="A22">
        <v>21</v>
      </c>
      <c r="B22" t="s">
        <v>508</v>
      </c>
      <c r="C22" t="s">
        <v>482</v>
      </c>
      <c r="D22">
        <v>2024</v>
      </c>
    </row>
    <row r="23" spans="1:4" x14ac:dyDescent="0.35">
      <c r="A23">
        <v>22</v>
      </c>
      <c r="B23" t="s">
        <v>509</v>
      </c>
      <c r="C23" t="s">
        <v>482</v>
      </c>
      <c r="D23">
        <v>2023</v>
      </c>
    </row>
    <row r="24" spans="1:4" x14ac:dyDescent="0.35">
      <c r="A24">
        <v>23</v>
      </c>
      <c r="B24" t="s">
        <v>510</v>
      </c>
      <c r="C24" t="s">
        <v>484</v>
      </c>
      <c r="D24">
        <v>2023</v>
      </c>
    </row>
    <row r="25" spans="1:4" x14ac:dyDescent="0.35">
      <c r="A25">
        <v>24</v>
      </c>
      <c r="B25" t="s">
        <v>511</v>
      </c>
      <c r="C25" t="s">
        <v>484</v>
      </c>
      <c r="D25">
        <v>2023</v>
      </c>
    </row>
    <row r="26" spans="1:4" x14ac:dyDescent="0.35">
      <c r="A26">
        <v>25</v>
      </c>
      <c r="B26" t="s">
        <v>512</v>
      </c>
      <c r="C26" t="s">
        <v>484</v>
      </c>
      <c r="D26">
        <v>2022</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J5"/>
  <sheetViews>
    <sheetView workbookViewId="0"/>
  </sheetViews>
  <sheetFormatPr defaultRowHeight="14.5" x14ac:dyDescent="0.35"/>
  <sheetData>
    <row r="1" spans="1:10" x14ac:dyDescent="0.35">
      <c r="A1" t="s">
        <v>6</v>
      </c>
      <c r="B1" t="s">
        <v>522</v>
      </c>
      <c r="C1" t="s">
        <v>523</v>
      </c>
      <c r="D1" t="s">
        <v>524</v>
      </c>
      <c r="E1" t="s">
        <v>525</v>
      </c>
      <c r="F1" t="s">
        <v>526</v>
      </c>
      <c r="G1" t="s">
        <v>12</v>
      </c>
      <c r="H1" t="s">
        <v>527</v>
      </c>
      <c r="I1" t="s">
        <v>528</v>
      </c>
      <c r="J1" t="s">
        <v>529</v>
      </c>
    </row>
    <row r="2" spans="1:10" x14ac:dyDescent="0.35">
      <c r="A2">
        <v>1</v>
      </c>
      <c r="B2" t="s">
        <v>530</v>
      </c>
      <c r="C2" t="s">
        <v>531</v>
      </c>
      <c r="D2" t="s">
        <v>532</v>
      </c>
      <c r="E2" t="s">
        <v>533</v>
      </c>
      <c r="F2" t="s">
        <v>534</v>
      </c>
      <c r="G2" t="s">
        <v>535</v>
      </c>
      <c r="H2" t="s">
        <v>536</v>
      </c>
      <c r="I2" t="s">
        <v>537</v>
      </c>
      <c r="J2" t="s">
        <v>538</v>
      </c>
    </row>
    <row r="3" spans="1:10" x14ac:dyDescent="0.35">
      <c r="A3">
        <v>2</v>
      </c>
      <c r="B3" t="s">
        <v>539</v>
      </c>
      <c r="C3" t="s">
        <v>531</v>
      </c>
      <c r="D3" t="s">
        <v>540</v>
      </c>
      <c r="E3" t="s">
        <v>541</v>
      </c>
      <c r="F3" t="s">
        <v>542</v>
      </c>
      <c r="G3" t="s">
        <v>543</v>
      </c>
      <c r="H3" t="s">
        <v>544</v>
      </c>
      <c r="I3" t="s">
        <v>545</v>
      </c>
      <c r="J3" t="s">
        <v>546</v>
      </c>
    </row>
    <row r="4" spans="1:10" x14ac:dyDescent="0.35">
      <c r="A4">
        <v>3</v>
      </c>
      <c r="B4" t="s">
        <v>547</v>
      </c>
      <c r="C4" t="s">
        <v>548</v>
      </c>
      <c r="D4" t="s">
        <v>549</v>
      </c>
      <c r="E4" t="s">
        <v>550</v>
      </c>
      <c r="F4" t="s">
        <v>551</v>
      </c>
      <c r="G4" t="s">
        <v>552</v>
      </c>
      <c r="H4" t="s">
        <v>553</v>
      </c>
      <c r="I4" t="s">
        <v>554</v>
      </c>
      <c r="J4" t="s">
        <v>555</v>
      </c>
    </row>
    <row r="5" spans="1:10" x14ac:dyDescent="0.35">
      <c r="A5">
        <v>4</v>
      </c>
      <c r="B5" t="s">
        <v>556</v>
      </c>
      <c r="C5" t="s">
        <v>557</v>
      </c>
      <c r="D5" t="s">
        <v>558</v>
      </c>
      <c r="E5" t="s">
        <v>559</v>
      </c>
      <c r="F5" t="s">
        <v>560</v>
      </c>
      <c r="G5" t="s">
        <v>561</v>
      </c>
      <c r="H5" t="s">
        <v>562</v>
      </c>
      <c r="I5" t="s">
        <v>563</v>
      </c>
      <c r="J5" t="s">
        <v>564</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11"/>
  <sheetViews>
    <sheetView workbookViewId="0"/>
  </sheetViews>
  <sheetFormatPr defaultRowHeight="14.5" x14ac:dyDescent="0.35"/>
  <sheetData>
    <row r="1" spans="1:6" x14ac:dyDescent="0.35">
      <c r="A1" t="s">
        <v>6</v>
      </c>
      <c r="B1" t="s">
        <v>104</v>
      </c>
      <c r="C1" t="s">
        <v>565</v>
      </c>
      <c r="D1" t="s">
        <v>8</v>
      </c>
      <c r="E1" t="s">
        <v>51</v>
      </c>
      <c r="F1" t="s">
        <v>566</v>
      </c>
    </row>
    <row r="2" spans="1:6" x14ac:dyDescent="0.35">
      <c r="A2">
        <v>1</v>
      </c>
      <c r="B2" t="s">
        <v>567</v>
      </c>
      <c r="C2" t="s">
        <v>568</v>
      </c>
      <c r="D2" t="s">
        <v>569</v>
      </c>
      <c r="E2">
        <v>2024</v>
      </c>
      <c r="F2" t="s">
        <v>570</v>
      </c>
    </row>
    <row r="3" spans="1:6" x14ac:dyDescent="0.35">
      <c r="A3">
        <v>2</v>
      </c>
      <c r="B3" t="s">
        <v>571</v>
      </c>
      <c r="C3" t="s">
        <v>572</v>
      </c>
      <c r="D3" t="s">
        <v>573</v>
      </c>
      <c r="E3">
        <v>2024</v>
      </c>
      <c r="F3" t="s">
        <v>574</v>
      </c>
    </row>
    <row r="4" spans="1:6" x14ac:dyDescent="0.35">
      <c r="A4">
        <v>3</v>
      </c>
      <c r="B4" t="s">
        <v>575</v>
      </c>
      <c r="C4" t="s">
        <v>576</v>
      </c>
      <c r="D4" t="s">
        <v>573</v>
      </c>
      <c r="E4">
        <v>2024</v>
      </c>
      <c r="F4" t="s">
        <v>577</v>
      </c>
    </row>
    <row r="5" spans="1:6" x14ac:dyDescent="0.35">
      <c r="A5">
        <v>4</v>
      </c>
      <c r="B5" t="s">
        <v>578</v>
      </c>
      <c r="C5" t="s">
        <v>579</v>
      </c>
      <c r="D5" t="s">
        <v>573</v>
      </c>
      <c r="E5">
        <v>2024</v>
      </c>
      <c r="F5" t="s">
        <v>580</v>
      </c>
    </row>
    <row r="6" spans="1:6" x14ac:dyDescent="0.35">
      <c r="A6">
        <v>5</v>
      </c>
      <c r="B6" t="s">
        <v>581</v>
      </c>
      <c r="C6" t="s">
        <v>582</v>
      </c>
      <c r="D6" t="s">
        <v>583</v>
      </c>
      <c r="E6">
        <v>2024</v>
      </c>
      <c r="F6" t="s">
        <v>584</v>
      </c>
    </row>
    <row r="7" spans="1:6" x14ac:dyDescent="0.35">
      <c r="A7">
        <v>6</v>
      </c>
      <c r="B7" t="s">
        <v>585</v>
      </c>
      <c r="C7" t="s">
        <v>586</v>
      </c>
      <c r="D7" t="s">
        <v>583</v>
      </c>
      <c r="E7">
        <v>2024</v>
      </c>
      <c r="F7" t="s">
        <v>587</v>
      </c>
    </row>
    <row r="8" spans="1:6" x14ac:dyDescent="0.35">
      <c r="A8">
        <v>7</v>
      </c>
      <c r="B8" t="s">
        <v>588</v>
      </c>
      <c r="C8" t="s">
        <v>589</v>
      </c>
      <c r="D8" t="s">
        <v>583</v>
      </c>
      <c r="E8">
        <v>2024</v>
      </c>
      <c r="F8" t="s">
        <v>590</v>
      </c>
    </row>
    <row r="9" spans="1:6" x14ac:dyDescent="0.35">
      <c r="A9">
        <v>8</v>
      </c>
      <c r="B9" t="s">
        <v>591</v>
      </c>
      <c r="C9" t="s">
        <v>592</v>
      </c>
      <c r="D9" t="s">
        <v>593</v>
      </c>
      <c r="E9">
        <v>2024</v>
      </c>
      <c r="F9" t="s">
        <v>594</v>
      </c>
    </row>
    <row r="10" spans="1:6" x14ac:dyDescent="0.35">
      <c r="A10">
        <v>9</v>
      </c>
      <c r="B10" t="s">
        <v>595</v>
      </c>
      <c r="C10" t="s">
        <v>596</v>
      </c>
      <c r="D10" t="s">
        <v>593</v>
      </c>
      <c r="E10">
        <v>2024</v>
      </c>
      <c r="F10" t="s">
        <v>597</v>
      </c>
    </row>
    <row r="11" spans="1:6" x14ac:dyDescent="0.35">
      <c r="A11">
        <v>10</v>
      </c>
      <c r="B11" t="s">
        <v>598</v>
      </c>
      <c r="C11" t="s">
        <v>599</v>
      </c>
      <c r="D11" t="s">
        <v>600</v>
      </c>
      <c r="E11">
        <v>2024</v>
      </c>
      <c r="F11" t="s">
        <v>601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beranda</vt:lpstr>
      <vt:lpstr>berita</vt:lpstr>
      <vt:lpstr>capstone</vt:lpstr>
      <vt:lpstr>dosen</vt:lpstr>
      <vt:lpstr>kurikulum</vt:lpstr>
      <vt:lpstr>mitra</vt:lpstr>
      <vt:lpstr>penelitian</vt:lpstr>
      <vt:lpstr>pengumuman</vt:lpstr>
      <vt:lpstr>pkm</vt:lpstr>
      <vt:lpstr>profil</vt:lpstr>
      <vt:lpstr>publikasi</vt:lpstr>
      <vt:lpstr>publikasi_otomatis</vt:lpstr>
      <vt:lpstr>publikasi_upgris</vt:lpstr>
      <vt:lpstr>slideshow</vt:lpstr>
      <vt:lpstr>spmi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Imadudin Harjanto</cp:lastModifiedBy>
  <dcterms:created xsi:type="dcterms:W3CDTF">2026-06-13T13:50:13Z</dcterms:created>
  <dcterms:modified xsi:type="dcterms:W3CDTF">2026-06-13T14:01:03Z</dcterms:modified>
</cp:coreProperties>
</file>